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as" sheetId="1" r:id="rId5"/>
    <sheet state="hidden" name="Ubicaciones" sheetId="2" r:id="rId6"/>
    <sheet state="visible" name="Datos" sheetId="3" r:id="rId7"/>
    <sheet state="visible" name="Reporte" sheetId="4" r:id="rId8"/>
    <sheet state="visible" name="no usar" sheetId="5" r:id="rId9"/>
  </sheets>
  <definedNames>
    <definedName localSheetId="2" name="mi_tabla">#REF!</definedName>
    <definedName name="Portuguesa">#REF!</definedName>
    <definedName localSheetId="1" name="Amazonas">Ubicaciones!$F$32:$F$38</definedName>
    <definedName name="Nueva_Esparta">#REF!</definedName>
    <definedName name="Sucre">#REF!</definedName>
    <definedName localSheetId="1" name="Mérida">#REF!</definedName>
    <definedName name="Anzoátegui">#REF!</definedName>
    <definedName name="mi_tabla">#REF!</definedName>
    <definedName name="Amazonas">#REF!</definedName>
    <definedName name="Táchira">#REF!</definedName>
    <definedName name="Monagas">#REF!</definedName>
    <definedName localSheetId="1" name="Monagas">Ubicaciones!$M$32:$M$44</definedName>
    <definedName name="Distrito_Capital">#REF!</definedName>
    <definedName name="Apure">#REF!</definedName>
    <definedName localSheetId="1" name="Sucre">Ubicaciones!$R$32:$R$46</definedName>
    <definedName name="Yaracuy">#REF!</definedName>
    <definedName name="Aragua">#REF!</definedName>
    <definedName localSheetId="1" name="Miranda">#REF!</definedName>
    <definedName localSheetId="1" name="Barinas">Ubicaciones!$L$32:$L$43</definedName>
    <definedName name="Falcón">#REF!</definedName>
    <definedName localSheetId="1" name="Aragua">Ubicaciones!$S$32:$S$49</definedName>
    <definedName localSheetId="4" name="ZonaDesplegables">'no usar'!$A$1:$H$10</definedName>
    <definedName localSheetId="1" name="Falcón">#REF!</definedName>
    <definedName localSheetId="1" name="Anzoátegui">Ubicaciones!$U$32:$U$52</definedName>
    <definedName name="Bolívar">#REF!</definedName>
    <definedName localSheetId="1" name="Cojedes">Ubicaciones!$H$32:$H$40</definedName>
    <definedName name="Carabobo">#REF!</definedName>
    <definedName localSheetId="1" name="Portuguesa">Ubicaciones!$O$32:$O$45</definedName>
    <definedName name="Mérida">#REF!</definedName>
    <definedName name="Lara">#REF!</definedName>
    <definedName name="Miranda">#REF!</definedName>
    <definedName localSheetId="1" name="La_Guaira">Ubicaciones!$D$32</definedName>
    <definedName name="ZonaDesplegables">Datos!$A$1:$H$12</definedName>
    <definedName name="Zulia">#REF!</definedName>
    <definedName name="Guárico">#REF!</definedName>
    <definedName localSheetId="1" name="Nueva_Esparta">Ubicaciones!$K$32:$K$42</definedName>
    <definedName name="La_Guaira">#REF!</definedName>
    <definedName localSheetId="4" name="mi_tabla">#REF!</definedName>
    <definedName localSheetId="1" name="Apure">Ubicaciones!$G$32:$G$38</definedName>
    <definedName localSheetId="1" name="Carabobo">Ubicaciones!$N$32:$N$45</definedName>
    <definedName localSheetId="1" name="Distrito_Capital">Ubicaciones!$C$32</definedName>
    <definedName name="Delta_Amacuro">#REF!</definedName>
    <definedName localSheetId="1" name="Delta_Amacuro">Ubicaciones!$E$32:$E$35</definedName>
    <definedName name="Trujillo">#REF!</definedName>
    <definedName localSheetId="1" name="Guárico">Ubicaciones!$Q$32:$Q$46</definedName>
    <definedName name="Barinas">#REF!</definedName>
    <definedName localSheetId="1" name="Lara">Ubicaciones!$I$32:$I$40</definedName>
    <definedName localSheetId="1" name="Trujillo">Ubicaciones!$T$32:$T$51</definedName>
    <definedName localSheetId="1" name="Bolívar">Ubicaciones!$J$32:$J$42</definedName>
    <definedName name="Cojedes">#REF!</definedName>
    <definedName localSheetId="1" name="Yaracuy">Ubicaciones!$P$32:$P$45</definedName>
    <definedName localSheetId="1" name="Zulia">#REF!</definedName>
    <definedName localSheetId="1" name="Táchira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tc={3d680390-367e-4c08-aac0-14252dbe1dda}</author>
  </authors>
  <commentList>
    <comment authorId="0" xr:uid="{3d680390-367e-4c08-aac0-14252dbe1dda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Doble click Calendario
</t>
      </text>
    </comment>
  </commentList>
</comments>
</file>

<file path=xl/sharedStrings.xml><?xml version="1.0" encoding="utf-8"?>
<sst xmlns="http://schemas.openxmlformats.org/spreadsheetml/2006/main" count="7947" uniqueCount="2938">
  <si>
    <t>Etnia</t>
  </si>
  <si>
    <t>Actividad</t>
  </si>
  <si>
    <t>Sector</t>
  </si>
  <si>
    <t>Tipo_Establecimiento</t>
  </si>
  <si>
    <t>Tipo_Retroalimentación</t>
  </si>
  <si>
    <t>Necesita_seguimiento</t>
  </si>
  <si>
    <t>Genero</t>
  </si>
  <si>
    <t>EDAD</t>
  </si>
  <si>
    <t>PERFIL</t>
  </si>
  <si>
    <t>Codigo Estado</t>
  </si>
  <si>
    <t>ESTADO</t>
  </si>
  <si>
    <t>Codigo Estado2</t>
  </si>
  <si>
    <t>Codigo Municipio</t>
  </si>
  <si>
    <t>MUNICIPIO</t>
  </si>
  <si>
    <t>Codigo Municipio3</t>
  </si>
  <si>
    <t>Codigo Parroquia</t>
  </si>
  <si>
    <t>PARROQUIA</t>
  </si>
  <si>
    <t>Codigo Parroquia4</t>
  </si>
  <si>
    <t>Actividades</t>
  </si>
  <si>
    <t>Tipo_Lugar</t>
  </si>
  <si>
    <t>Tipo_Instalacion</t>
  </si>
  <si>
    <t>Protección de la niñez</t>
  </si>
  <si>
    <t>Ninguna</t>
  </si>
  <si>
    <t>Cara-cara</t>
  </si>
  <si>
    <t>Agua, saneamiento e higiene</t>
  </si>
  <si>
    <t>Comunidad</t>
  </si>
  <si>
    <t>Retroalimentación Positiva</t>
  </si>
  <si>
    <t>Necesita seguimiento</t>
  </si>
  <si>
    <t>Hombre</t>
  </si>
  <si>
    <t>0 a 17 años</t>
  </si>
  <si>
    <t>NNA</t>
  </si>
  <si>
    <t>VE01</t>
  </si>
  <si>
    <t>Distrito Capital</t>
  </si>
  <si>
    <t>VE0101</t>
  </si>
  <si>
    <t>Libertador</t>
  </si>
  <si>
    <t>VE010101</t>
  </si>
  <si>
    <t>Altagracia</t>
  </si>
  <si>
    <t>Actividades de monitoreo y consulta de protección</t>
  </si>
  <si>
    <t>Acueducto Rural (Municipalidad)</t>
  </si>
  <si>
    <t>Centro de Salud</t>
  </si>
  <si>
    <t>SCA18/IC1/IE2: NNA - Número de NNA que acceden al registro civil de nacimientos</t>
  </si>
  <si>
    <t>Akawayo</t>
  </si>
  <si>
    <t>Buzón de sugerencias</t>
  </si>
  <si>
    <t>Alojamiento, energía y enseres</t>
  </si>
  <si>
    <t>Ambulatorio</t>
  </si>
  <si>
    <t>Demanda de Información</t>
  </si>
  <si>
    <t>Fue respondida directamente</t>
  </si>
  <si>
    <t>Mujer</t>
  </si>
  <si>
    <t>18 a 59 años</t>
  </si>
  <si>
    <t>Persona en riesgo de desplazamiento forzado</t>
  </si>
  <si>
    <t>VE02</t>
  </si>
  <si>
    <t>Amazonas</t>
  </si>
  <si>
    <t>VE0201</t>
  </si>
  <si>
    <t>Autónomo Alto Orinoco</t>
  </si>
  <si>
    <t>VE010102</t>
  </si>
  <si>
    <t>Antimano</t>
  </si>
  <si>
    <t>Apoyar la localización y reunificación familiar.</t>
  </si>
  <si>
    <t>Campamentos transitorios - gestionados ONU</t>
  </si>
  <si>
    <t>SCA18/IC1/IE3: NNA - Número de NNA que acceden a otros documentos de identidad, incluida la C.I.</t>
  </si>
  <si>
    <t>Añu</t>
  </si>
  <si>
    <t>Mesas Informativas</t>
  </si>
  <si>
    <t>Construcción de Paz</t>
  </si>
  <si>
    <t>EAT - Espacio de alojamiento temporal (civil)</t>
  </si>
  <si>
    <t>Solicitud de Asistencia Humanitaria</t>
  </si>
  <si>
    <t>60 años o más</t>
  </si>
  <si>
    <t>Persona solicitante de asilo</t>
  </si>
  <si>
    <t>VE03</t>
  </si>
  <si>
    <t>Anzoátegui</t>
  </si>
  <si>
    <t>VE0202</t>
  </si>
  <si>
    <t>Autónomo Atabapo</t>
  </si>
  <si>
    <t>VE010103</t>
  </si>
  <si>
    <t>Candelaria</t>
  </si>
  <si>
    <t>Creación, apoyo y adaptación de espacios o áreas seguros e inclusivos.</t>
  </si>
  <si>
    <t>Autoridad de coordinación civil / militar</t>
  </si>
  <si>
    <t>Campamentos transitorios - del gobierno</t>
  </si>
  <si>
    <t>SCA10/IC1/IE1: VBG - Número de casos que reciben servicios de gestión de casos de VBG</t>
  </si>
  <si>
    <t>Banova o Kurripako</t>
  </si>
  <si>
    <t>Asambleas comunitarias</t>
  </si>
  <si>
    <t>Coordinación</t>
  </si>
  <si>
    <t>Espacio o centro comunitario / institucional</t>
  </si>
  <si>
    <t>Reclamo</t>
  </si>
  <si>
    <t>Prefiere no especificar</t>
  </si>
  <si>
    <t>Persona en movilidad</t>
  </si>
  <si>
    <t>VE04</t>
  </si>
  <si>
    <t>Apure</t>
  </si>
  <si>
    <t>VE0203</t>
  </si>
  <si>
    <t>Autónomo Atures</t>
  </si>
  <si>
    <t>VE010104</t>
  </si>
  <si>
    <t>Caricuao</t>
  </si>
  <si>
    <t>Impartir formación y desarrollar capacidades técnicas y materiales de organismos locales, nacionales u otros en materia de prestación de servicios.</t>
  </si>
  <si>
    <t>Centro de Diagnóstico Integral</t>
  </si>
  <si>
    <t>Asentamientos informales</t>
  </si>
  <si>
    <t>SCA10/IC1/IE2: NNA - Número de nuevos casos de gestión de protección de la niñez abiertos y que reciben servicios adaptados a sus necesidades.</t>
  </si>
  <si>
    <t>Barí</t>
  </si>
  <si>
    <t>Líder comunitario</t>
  </si>
  <si>
    <t>Desarrollo Humanitario</t>
  </si>
  <si>
    <t>Escuela o centro educativo</t>
  </si>
  <si>
    <t>Sugerencias</t>
  </si>
  <si>
    <t>Persona refugiada</t>
  </si>
  <si>
    <t>VE05</t>
  </si>
  <si>
    <t>Aragua</t>
  </si>
  <si>
    <t>VE0204</t>
  </si>
  <si>
    <t>Autónomo Autana</t>
  </si>
  <si>
    <t>VE010105</t>
  </si>
  <si>
    <t>Catedral</t>
  </si>
  <si>
    <t>Impartir formación y desarrollar las capacidades de los agentes humanitarios no especialistas en protección en materia de tranversalidad de la protección</t>
  </si>
  <si>
    <t>Clínica Popular</t>
  </si>
  <si>
    <t>Comunidad / Espacio Comunitario</t>
  </si>
  <si>
    <t>SCA17/IC1/IE1: NNA - Número de NNA, padres, madres o cuidadores que reciben asesoramiento / orientación legal.</t>
  </si>
  <si>
    <t>Chaima</t>
  </si>
  <si>
    <t>Grupos focales</t>
  </si>
  <si>
    <t>Educación</t>
  </si>
  <si>
    <t>Espacio Seguro para Mujeres y Niñas / Adolescentes (WGSS)</t>
  </si>
  <si>
    <t>Quejas</t>
  </si>
  <si>
    <t>Persona retornada</t>
  </si>
  <si>
    <t>VE06</t>
  </si>
  <si>
    <t>Barinas</t>
  </si>
  <si>
    <t>VE0205</t>
  </si>
  <si>
    <t>Autónomo Maroa</t>
  </si>
  <si>
    <t>VE010106</t>
  </si>
  <si>
    <t>Coche</t>
  </si>
  <si>
    <t>Impartir sesiones informativas y brindar orientaciones específicas sobre los riesgos de protección y la respuesta a los mismos.</t>
  </si>
  <si>
    <t>Escuela / Espacio Educativo</t>
  </si>
  <si>
    <t>SCA18/IC1/IE1: NNA - Número de NNA y padres, madres o cuidadores que reciben asistencia legal asociada a protección a la infancia.</t>
  </si>
  <si>
    <t>Cuiva</t>
  </si>
  <si>
    <t>Encuestas de M&amp;E</t>
  </si>
  <si>
    <t>Logística</t>
  </si>
  <si>
    <t>Persona por confirmar nacionalidad</t>
  </si>
  <si>
    <t>VE07</t>
  </si>
  <si>
    <t>Bolívar</t>
  </si>
  <si>
    <t>VE0206</t>
  </si>
  <si>
    <t>Autónomo Manapiare</t>
  </si>
  <si>
    <t>VE010107</t>
  </si>
  <si>
    <t>El Junquito</t>
  </si>
  <si>
    <t>Implementar y apoyar las medidas de gestión de casos.</t>
  </si>
  <si>
    <t>Consejo Comunal</t>
  </si>
  <si>
    <t>Espacio Amigable para la Infancia</t>
  </si>
  <si>
    <t>SCA12/IC1/IE1: NNA - Número de niñas, niños y adolescentes que se benefician de apoyo psicosocial sensible a la edad, el género y la discapacidad a través de actividades grupales</t>
  </si>
  <si>
    <t>Gayón</t>
  </si>
  <si>
    <t>Redes Sociales</t>
  </si>
  <si>
    <t>Nutrición</t>
  </si>
  <si>
    <t>PASI - Punto de Atención Social Integral (Gubernamental)</t>
  </si>
  <si>
    <t>Comunidad / Comunidad de acogida</t>
  </si>
  <si>
    <t>VE08</t>
  </si>
  <si>
    <t>Carabobo</t>
  </si>
  <si>
    <t>VE0207</t>
  </si>
  <si>
    <t>Autónomo Río Negro</t>
  </si>
  <si>
    <t>VE010108</t>
  </si>
  <si>
    <t>El Paraíso</t>
  </si>
  <si>
    <t>Ofrecer actividades de apoyo psicosocial y socioemocional para hombres, mujeres, niños, adolescentes y cuidadores.</t>
  </si>
  <si>
    <t>Consultorios Populares (CP)</t>
  </si>
  <si>
    <t>SCA12/IC1/IE2: NNA - Número de padres, madres y/o cuidadores que se benefician de apoyo psicosocial a través de actividades grupales</t>
  </si>
  <si>
    <t>Hoti</t>
  </si>
  <si>
    <t>SMS</t>
  </si>
  <si>
    <t>Protección</t>
  </si>
  <si>
    <t>Comunidad indígena</t>
  </si>
  <si>
    <t>VE09</t>
  </si>
  <si>
    <t>Cojedes</t>
  </si>
  <si>
    <t>VE0301</t>
  </si>
  <si>
    <t>Anaco</t>
  </si>
  <si>
    <t>VE010109</t>
  </si>
  <si>
    <t>El Recreo</t>
  </si>
  <si>
    <t>Otra - especificar en comentarios</t>
  </si>
  <si>
    <t>SCA12/IC2/IE1: NNA - Número de niñas, niños y adolescentes que se benefician de apoyo psicosocial sensible a la edad, el género y la discapacidad a través de actividades individuales</t>
  </si>
  <si>
    <t>Japrería</t>
  </si>
  <si>
    <t>WhatsApp</t>
  </si>
  <si>
    <t>Protección AdR NNA</t>
  </si>
  <si>
    <t>Persona LGBTIQ+</t>
  </si>
  <si>
    <t>VE10</t>
  </si>
  <si>
    <t>Delta Amacuro</t>
  </si>
  <si>
    <t>VE0302</t>
  </si>
  <si>
    <t>VE010110</t>
  </si>
  <si>
    <t>El Valle</t>
  </si>
  <si>
    <t>Prestación de asesoramiento / orientación legal a particulares.</t>
  </si>
  <si>
    <t>SCA12/IC2/IE2: NNA - Número de padres, madres y/o cuidadores que se benefician de apoyo psicosocial a través de actividades individuales</t>
  </si>
  <si>
    <t>Jirajara</t>
  </si>
  <si>
    <t>Llamadas telefónicas</t>
  </si>
  <si>
    <t>Protección AdR VBG</t>
  </si>
  <si>
    <t>Hospital</t>
  </si>
  <si>
    <t>Mujer Trans</t>
  </si>
  <si>
    <t>Persona adulta mayor</t>
  </si>
  <si>
    <t>VE11</t>
  </si>
  <si>
    <t>Falcón</t>
  </si>
  <si>
    <t>VE0303</t>
  </si>
  <si>
    <t>Fernando De Peñalver</t>
  </si>
  <si>
    <t>VE010111</t>
  </si>
  <si>
    <t>La Pastora</t>
  </si>
  <si>
    <t>Prestación de asistencia legal, incluida la relativa a la identidad jurídica.</t>
  </si>
  <si>
    <t>SCA13/IC1/IE1: NNA - Número de niñas, niños y adolescentes colocados en cuidados alternativos basados en la familia</t>
  </si>
  <si>
    <t>Jivi</t>
  </si>
  <si>
    <t>Correo Electrónico</t>
  </si>
  <si>
    <t>Protección TdP</t>
  </si>
  <si>
    <t>Sede Administrativa de Salud</t>
  </si>
  <si>
    <t>Hombre Trans</t>
  </si>
  <si>
    <t>Persona con discapacidad</t>
  </si>
  <si>
    <t>VE12</t>
  </si>
  <si>
    <t>Guárico</t>
  </si>
  <si>
    <t>VE0304</t>
  </si>
  <si>
    <t>Francisco Del Carvajal</t>
  </si>
  <si>
    <t>VE010112</t>
  </si>
  <si>
    <t>La Vega</t>
  </si>
  <si>
    <t>Realizar actividades de incidencia (involucramiento estratégico, eventos, reuniones, mensajes, documentos) con otros actores</t>
  </si>
  <si>
    <t>Espacio Seguro para Mujeres y Niñas / Adolescentes (ESMN)</t>
  </si>
  <si>
    <t>SCA13/IC1/IE2: NNA - Número de niños, niñas y adolescentes no acompañados y separados de sus familias que han recibido apoyo mediante identificación, documentación y reunificación.</t>
  </si>
  <si>
    <t>Kariña</t>
  </si>
  <si>
    <t>Salud</t>
  </si>
  <si>
    <t>Persona no Binaria</t>
  </si>
  <si>
    <t>Persona afrodescendiente</t>
  </si>
  <si>
    <t>VE13</t>
  </si>
  <si>
    <t>Lara</t>
  </si>
  <si>
    <t>VE0305</t>
  </si>
  <si>
    <t>Francisco De Miranda</t>
  </si>
  <si>
    <t>VE010113</t>
  </si>
  <si>
    <t>Macarao</t>
  </si>
  <si>
    <t>Realizar análisis del entorno de protección para prevenir y responder a los riesgos de protección.</t>
  </si>
  <si>
    <t>Hidrológica</t>
  </si>
  <si>
    <t>Maki</t>
  </si>
  <si>
    <t>Salud sexual y reproductiva</t>
  </si>
  <si>
    <t>Otro</t>
  </si>
  <si>
    <t>Sobreviviente de violencia</t>
  </si>
  <si>
    <t>VE14</t>
  </si>
  <si>
    <t>Mérida</t>
  </si>
  <si>
    <t>VE0306</t>
  </si>
  <si>
    <t>Guanta</t>
  </si>
  <si>
    <t>VE010114</t>
  </si>
  <si>
    <t>San Agustín</t>
  </si>
  <si>
    <t>Programatico</t>
  </si>
  <si>
    <t>SCA12/IC1/IE3: VBG - Número de personas en riesgo y sobrevivientes de VBG que se benefician de apoyo psicosocial sensible a la edad, el género y la discapacidad a través de actividades grupales</t>
  </si>
  <si>
    <t>Mapoyo</t>
  </si>
  <si>
    <t>Educación Integral de la sexualidad</t>
  </si>
  <si>
    <t>Víctima de trata de personas</t>
  </si>
  <si>
    <t>VE15</t>
  </si>
  <si>
    <t>Miranda</t>
  </si>
  <si>
    <t>VE0307</t>
  </si>
  <si>
    <t>Independencia</t>
  </si>
  <si>
    <t>VE010115</t>
  </si>
  <si>
    <t>San Bernandino</t>
  </si>
  <si>
    <t>SCA12/IC2/IE3: VBG - Número de personas en riesgo y sobrevivientes de VBG que se benefician de SMAPS sensible a la edad, el género y la discapacidad a través de actividades individuales.</t>
  </si>
  <si>
    <t>Panare</t>
  </si>
  <si>
    <t>Seguridad Alimentaria y Medios de Vida</t>
  </si>
  <si>
    <t>Sede / Espacios de la organización</t>
  </si>
  <si>
    <t>Madre lactante</t>
  </si>
  <si>
    <t>VE16</t>
  </si>
  <si>
    <t>Monagas</t>
  </si>
  <si>
    <t>VE0308</t>
  </si>
  <si>
    <t>Juan Antonio Sotillo</t>
  </si>
  <si>
    <t>VE010116</t>
  </si>
  <si>
    <t>San José</t>
  </si>
  <si>
    <t>SCA17/IC1/IE2: VBG - Número de personas sobrevivivientes de VBG o en riesgo que reciben asesoramiento/ orientación legal.</t>
  </si>
  <si>
    <t>Pemón</t>
  </si>
  <si>
    <t>No referente a la asistencia humanitaria</t>
  </si>
  <si>
    <t>Mujer embarazada</t>
  </si>
  <si>
    <t>VE17</t>
  </si>
  <si>
    <t>Nueva Esparta</t>
  </si>
  <si>
    <t>VE0309</t>
  </si>
  <si>
    <t>Juan Manuel Cajigal</t>
  </si>
  <si>
    <t>VE010117</t>
  </si>
  <si>
    <t>San Juan</t>
  </si>
  <si>
    <t>SCA28/IC1/IE4: VBG - Número de personas que reciben información y orientación para prevenir y responder a los riesgos de protección sobre prevención y mitigación a la VBG, DDSSRR o masculinidades positivas.</t>
  </si>
  <si>
    <t>Piapoko o Wenaiwika</t>
  </si>
  <si>
    <t>Salud Mental</t>
  </si>
  <si>
    <t>Actor humanitario / desarrollo</t>
  </si>
  <si>
    <t>VE18</t>
  </si>
  <si>
    <t>Portuguesa</t>
  </si>
  <si>
    <t>VE0310</t>
  </si>
  <si>
    <t>José Gregorio Monagas</t>
  </si>
  <si>
    <t>VE010118</t>
  </si>
  <si>
    <t>San Pedro</t>
  </si>
  <si>
    <t>Puinave</t>
  </si>
  <si>
    <t>Proveedor</t>
  </si>
  <si>
    <t>VE19</t>
  </si>
  <si>
    <t>Sucre</t>
  </si>
  <si>
    <t>VE0311</t>
  </si>
  <si>
    <t>Libertad</t>
  </si>
  <si>
    <t>VE010119</t>
  </si>
  <si>
    <t>Santa Rosalía</t>
  </si>
  <si>
    <t>Virtual</t>
  </si>
  <si>
    <t>Pumé</t>
  </si>
  <si>
    <t>Ente / Entidad gubernamental</t>
  </si>
  <si>
    <t>VE20</t>
  </si>
  <si>
    <t>Táchira</t>
  </si>
  <si>
    <t>VE0312</t>
  </si>
  <si>
    <t>Manuel Ezequiel Bruzual</t>
  </si>
  <si>
    <t>VE010120</t>
  </si>
  <si>
    <t>Santa Teresa</t>
  </si>
  <si>
    <t>Sáliba</t>
  </si>
  <si>
    <t>No logro identificar el perfil/características de la persona afectada</t>
  </si>
  <si>
    <t>VE21</t>
  </si>
  <si>
    <t>Trujillo</t>
  </si>
  <si>
    <t>VE0313</t>
  </si>
  <si>
    <t>Pedro María Freites</t>
  </si>
  <si>
    <t>VE010121</t>
  </si>
  <si>
    <t>Discapacidad</t>
  </si>
  <si>
    <t>Sanema</t>
  </si>
  <si>
    <t>VE22</t>
  </si>
  <si>
    <t>Yaracuy</t>
  </si>
  <si>
    <t>VE0314</t>
  </si>
  <si>
    <t>Píritu</t>
  </si>
  <si>
    <t>VE010122</t>
  </si>
  <si>
    <t>23 De Enero</t>
  </si>
  <si>
    <t>Sapé</t>
  </si>
  <si>
    <t>VE23</t>
  </si>
  <si>
    <t>Zulia</t>
  </si>
  <si>
    <t>VE0315</t>
  </si>
  <si>
    <t>San José De Guanipa</t>
  </si>
  <si>
    <t>VE020102</t>
  </si>
  <si>
    <t>Huachamacare</t>
  </si>
  <si>
    <t>Discapacidad Física o Motora</t>
  </si>
  <si>
    <t>Urak</t>
  </si>
  <si>
    <t>VE24</t>
  </si>
  <si>
    <t>La Guaira</t>
  </si>
  <si>
    <t>VE0316</t>
  </si>
  <si>
    <t>San Juan De Capistrano</t>
  </si>
  <si>
    <t>VE020103</t>
  </si>
  <si>
    <t>Marawaka</t>
  </si>
  <si>
    <t>Discapacidad Sensorial (auditiva y visual)</t>
  </si>
  <si>
    <t>Waike</t>
  </si>
  <si>
    <t>VE0317</t>
  </si>
  <si>
    <t>Santa Ana</t>
  </si>
  <si>
    <t>VE020104</t>
  </si>
  <si>
    <t>Mavaca</t>
  </si>
  <si>
    <t>Discapacidad Auditiva</t>
  </si>
  <si>
    <t>Waikerí</t>
  </si>
  <si>
    <t>VE0318</t>
  </si>
  <si>
    <t>Simón Bolívar</t>
  </si>
  <si>
    <t>VE020105</t>
  </si>
  <si>
    <t>Sierra Parima</t>
  </si>
  <si>
    <t>Discapacidad Visual</t>
  </si>
  <si>
    <t>Wanuikua</t>
  </si>
  <si>
    <t>VE0319</t>
  </si>
  <si>
    <t>Simón Rodríguez</t>
  </si>
  <si>
    <t>VE020201</t>
  </si>
  <si>
    <t>Ucata</t>
  </si>
  <si>
    <t>Agua, Saneamiento e Higiene (WASH)</t>
  </si>
  <si>
    <t>Discapacidad Intelectual</t>
  </si>
  <si>
    <t>Waraos</t>
  </si>
  <si>
    <t>VE0320</t>
  </si>
  <si>
    <t>Sir Arthur Mc Gregor</t>
  </si>
  <si>
    <t>VE020202</t>
  </si>
  <si>
    <t>Yacapana</t>
  </si>
  <si>
    <t>Discapacidad Psíquica</t>
  </si>
  <si>
    <t>Wayúu</t>
  </si>
  <si>
    <t>VE0321</t>
  </si>
  <si>
    <t>Diego Bautista Urbaneja</t>
  </si>
  <si>
    <t>VE020203</t>
  </si>
  <si>
    <t>Caname</t>
  </si>
  <si>
    <t>Wottuja-Piaroa</t>
  </si>
  <si>
    <t>VE0401</t>
  </si>
  <si>
    <t>Achaguas</t>
  </si>
  <si>
    <t>VE020301</t>
  </si>
  <si>
    <t>Fernando Giron Tovar</t>
  </si>
  <si>
    <t>Yabarana</t>
  </si>
  <si>
    <t>VE0402</t>
  </si>
  <si>
    <t>Biruaca</t>
  </si>
  <si>
    <t>VE020302</t>
  </si>
  <si>
    <t>Luis Alberto Gómez</t>
  </si>
  <si>
    <t>Rendición de Cuentas (AAP)</t>
  </si>
  <si>
    <t>Yanowamö</t>
  </si>
  <si>
    <t>VE0403</t>
  </si>
  <si>
    <t>Muñoz</t>
  </si>
  <si>
    <t>VE020303</t>
  </si>
  <si>
    <t>Parhueña</t>
  </si>
  <si>
    <t>Prevención de Explotación y Abuso Sexual (PEAS)</t>
  </si>
  <si>
    <t>Yekuana</t>
  </si>
  <si>
    <t>VE0404</t>
  </si>
  <si>
    <t>Páez</t>
  </si>
  <si>
    <t>VE020304</t>
  </si>
  <si>
    <t>Platanillal</t>
  </si>
  <si>
    <t>Cambio Social y de Comportamiento (SBC)</t>
  </si>
  <si>
    <t>Yukpa</t>
  </si>
  <si>
    <t>VE0405</t>
  </si>
  <si>
    <t>Pedro Camejo</t>
  </si>
  <si>
    <t>VE020401</t>
  </si>
  <si>
    <t>Samariapo</t>
  </si>
  <si>
    <t>Logística, Dotaciones y Diagnósticos</t>
  </si>
  <si>
    <t>Otra Etnia</t>
  </si>
  <si>
    <t>VE0406</t>
  </si>
  <si>
    <t>Rómulo Gallegos</t>
  </si>
  <si>
    <t>VE020402</t>
  </si>
  <si>
    <t>Sipapo</t>
  </si>
  <si>
    <t>VE0407</t>
  </si>
  <si>
    <t>San Fernando</t>
  </si>
  <si>
    <t>VE020403</t>
  </si>
  <si>
    <t>Munduapo</t>
  </si>
  <si>
    <t>VE0501</t>
  </si>
  <si>
    <t>VE020404</t>
  </si>
  <si>
    <t>Guayapo</t>
  </si>
  <si>
    <t>VE0502</t>
  </si>
  <si>
    <t>Camatagua</t>
  </si>
  <si>
    <t>VE020501</t>
  </si>
  <si>
    <t>Victorino</t>
  </si>
  <si>
    <t>VE0503</t>
  </si>
  <si>
    <t>Girardot</t>
  </si>
  <si>
    <t>VE020502</t>
  </si>
  <si>
    <t>VE0504</t>
  </si>
  <si>
    <t>José Angel Lamas</t>
  </si>
  <si>
    <t>VE020601</t>
  </si>
  <si>
    <t>Alto Ventuari</t>
  </si>
  <si>
    <t>VE0505</t>
  </si>
  <si>
    <t>José Félix Ribas</t>
  </si>
  <si>
    <t>VE020602</t>
  </si>
  <si>
    <t>Medio Ventuari</t>
  </si>
  <si>
    <t>VE0506</t>
  </si>
  <si>
    <t>José Rafael Revenga</t>
  </si>
  <si>
    <t>VE020603</t>
  </si>
  <si>
    <t>Bajo Ventuari</t>
  </si>
  <si>
    <t>VE0507</t>
  </si>
  <si>
    <t>VE020701</t>
  </si>
  <si>
    <t>Solano</t>
  </si>
  <si>
    <t>VE0508</t>
  </si>
  <si>
    <t>Mario Briceño Iragorry</t>
  </si>
  <si>
    <t>VE020702</t>
  </si>
  <si>
    <t>Casiquiare</t>
  </si>
  <si>
    <t>VE0509</t>
  </si>
  <si>
    <t>San Casimiro</t>
  </si>
  <si>
    <t>VE020703</t>
  </si>
  <si>
    <t>Cocuy</t>
  </si>
  <si>
    <t>VE0510</t>
  </si>
  <si>
    <t>San Sebastián</t>
  </si>
  <si>
    <t>VE030101</t>
  </si>
  <si>
    <t>VE0511</t>
  </si>
  <si>
    <t>Santiago Mariño</t>
  </si>
  <si>
    <t>VE030102</t>
  </si>
  <si>
    <t>San Joaquín</t>
  </si>
  <si>
    <t>VE0512</t>
  </si>
  <si>
    <t>Santos Michelena</t>
  </si>
  <si>
    <t>VE030201</t>
  </si>
  <si>
    <t>VE0513</t>
  </si>
  <si>
    <t>VE030202</t>
  </si>
  <si>
    <t>Cachipo</t>
  </si>
  <si>
    <t>VE0514</t>
  </si>
  <si>
    <t>Tovar</t>
  </si>
  <si>
    <t>VE030301</t>
  </si>
  <si>
    <t>VE0515</t>
  </si>
  <si>
    <t>Urdaneta</t>
  </si>
  <si>
    <t>VE030302</t>
  </si>
  <si>
    <t>San Miguel</t>
  </si>
  <si>
    <t>VE0516</t>
  </si>
  <si>
    <t>Zamora</t>
  </si>
  <si>
    <t>VE030303</t>
  </si>
  <si>
    <t>VE0517</t>
  </si>
  <si>
    <t>Francisco Linares Alcantara</t>
  </si>
  <si>
    <t>VE030401</t>
  </si>
  <si>
    <t>Capital Francisco Del Carmen Carvajal</t>
  </si>
  <si>
    <t>VE0518</t>
  </si>
  <si>
    <t>Ocumare De La Costa De Oro</t>
  </si>
  <si>
    <t>VE030402</t>
  </si>
  <si>
    <t>Santa Bárbara</t>
  </si>
  <si>
    <t>VE0601</t>
  </si>
  <si>
    <t>Alberto Arvelo Torrealba</t>
  </si>
  <si>
    <t>VE030501</t>
  </si>
  <si>
    <t>Rangos con Nombres para las listas de Estados</t>
  </si>
  <si>
    <t>Estados</t>
  </si>
  <si>
    <t>Rangos con Nombres para las listas de Municipios</t>
  </si>
  <si>
    <t>Vargas</t>
  </si>
  <si>
    <t>Antonio Díaz</t>
  </si>
  <si>
    <t>Andrés Eloy Blanco</t>
  </si>
  <si>
    <t>Caroní</t>
  </si>
  <si>
    <t>Antolín Del Campo</t>
  </si>
  <si>
    <t>Acosta</t>
  </si>
  <si>
    <t>Bejuma</t>
  </si>
  <si>
    <t>Agua Blanca</t>
  </si>
  <si>
    <t>Arístides Bastidas</t>
  </si>
  <si>
    <t>Camaguán</t>
  </si>
  <si>
    <t>Andrés Bello</t>
  </si>
  <si>
    <t>Casacoima</t>
  </si>
  <si>
    <t>Tinaquillo</t>
  </si>
  <si>
    <t>Crespo</t>
  </si>
  <si>
    <t>Cedeño</t>
  </si>
  <si>
    <t>Arismendi</t>
  </si>
  <si>
    <t>Antonio José De Sucre</t>
  </si>
  <si>
    <t>Aguasay</t>
  </si>
  <si>
    <t>Carlos Arvelo</t>
  </si>
  <si>
    <t>Araure</t>
  </si>
  <si>
    <t>Chaguaramas</t>
  </si>
  <si>
    <t>Andrés Mata</t>
  </si>
  <si>
    <t>Boconó</t>
  </si>
  <si>
    <t>Pedernales</t>
  </si>
  <si>
    <t>Iribarren</t>
  </si>
  <si>
    <t>El Callao</t>
  </si>
  <si>
    <t>Díaz</t>
  </si>
  <si>
    <t>Diego Ibarra</t>
  </si>
  <si>
    <t>Esteller</t>
  </si>
  <si>
    <t>Bruzual</t>
  </si>
  <si>
    <t>El Socorro</t>
  </si>
  <si>
    <t>Tucupita</t>
  </si>
  <si>
    <t>Lima Blanco</t>
  </si>
  <si>
    <t>Jiménez</t>
  </si>
  <si>
    <t>Gran Sabana</t>
  </si>
  <si>
    <t>García</t>
  </si>
  <si>
    <t>Caripe</t>
  </si>
  <si>
    <t>Guacara</t>
  </si>
  <si>
    <t>Guanare</t>
  </si>
  <si>
    <t>Cocorote</t>
  </si>
  <si>
    <t>San Gerónimo De Guayabal</t>
  </si>
  <si>
    <t>Benítez</t>
  </si>
  <si>
    <t>Pao De San Juan Bautista</t>
  </si>
  <si>
    <t>Morán</t>
  </si>
  <si>
    <t>Angostura Del Orinoco</t>
  </si>
  <si>
    <t>Gómez</t>
  </si>
  <si>
    <t>Juan José Mora</t>
  </si>
  <si>
    <t>Guanarito</t>
  </si>
  <si>
    <t>Leonardo Infante</t>
  </si>
  <si>
    <t>Bermúdez</t>
  </si>
  <si>
    <t>Carache</t>
  </si>
  <si>
    <t>Ricaurte</t>
  </si>
  <si>
    <t>Palavecino</t>
  </si>
  <si>
    <t>Piar</t>
  </si>
  <si>
    <t>Maneiro</t>
  </si>
  <si>
    <t>Cruz Paredes</t>
  </si>
  <si>
    <t>Ezequiel Zamora</t>
  </si>
  <si>
    <t>Monseñor José Vicente De Unda</t>
  </si>
  <si>
    <t>José Antonio Páez</t>
  </si>
  <si>
    <t>Las Mercedes</t>
  </si>
  <si>
    <t>Escuque</t>
  </si>
  <si>
    <t>Simón Planas</t>
  </si>
  <si>
    <t>Bolivariano Angostura</t>
  </si>
  <si>
    <t>Marcano</t>
  </si>
  <si>
    <t>Los Guayos</t>
  </si>
  <si>
    <t>Ospino</t>
  </si>
  <si>
    <t>La Trinidad</t>
  </si>
  <si>
    <t>Julián Mellado</t>
  </si>
  <si>
    <t>Cajigal</t>
  </si>
  <si>
    <t>José Felipe Márquez Cañizales</t>
  </si>
  <si>
    <t>Torres</t>
  </si>
  <si>
    <t>Roscio</t>
  </si>
  <si>
    <t>Mariño</t>
  </si>
  <si>
    <t>Obispos</t>
  </si>
  <si>
    <t>Maturín</t>
  </si>
  <si>
    <t>Manuel Monge</t>
  </si>
  <si>
    <t>Cruz Salmerón Acosta</t>
  </si>
  <si>
    <t>Juan Vicente Campo Elías</t>
  </si>
  <si>
    <t>Tinaco</t>
  </si>
  <si>
    <t>Sifontes</t>
  </si>
  <si>
    <t>Península De Macanao</t>
  </si>
  <si>
    <t>Pedraza</t>
  </si>
  <si>
    <t>Montalbán</t>
  </si>
  <si>
    <t>Papelón</t>
  </si>
  <si>
    <t>Nirgua</t>
  </si>
  <si>
    <t>José Tadeo Monagas</t>
  </si>
  <si>
    <t>La Ceiba</t>
  </si>
  <si>
    <t>Tubores</t>
  </si>
  <si>
    <t>Rojas</t>
  </si>
  <si>
    <t>Punceres</t>
  </si>
  <si>
    <t>Naguanagua</t>
  </si>
  <si>
    <t>San Genaro De Boconoíto</t>
  </si>
  <si>
    <t>Peña</t>
  </si>
  <si>
    <t>Ortiz</t>
  </si>
  <si>
    <t>Padre Pedro Chien</t>
  </si>
  <si>
    <t>Villalba</t>
  </si>
  <si>
    <t>Sosa</t>
  </si>
  <si>
    <t>Puerto Cabello</t>
  </si>
  <si>
    <t>San Rafael De Onoto</t>
  </si>
  <si>
    <t>San Felipe</t>
  </si>
  <si>
    <t>Mejia</t>
  </si>
  <si>
    <t>Monte Carmelo</t>
  </si>
  <si>
    <t>Sotillo</t>
  </si>
  <si>
    <t>San Diego</t>
  </si>
  <si>
    <t>Juan Germán Roscio</t>
  </si>
  <si>
    <t>Montes</t>
  </si>
  <si>
    <t>Motatán</t>
  </si>
  <si>
    <t>Uracoa</t>
  </si>
  <si>
    <t>Urachiche</t>
  </si>
  <si>
    <t>San José De Guaribe</t>
  </si>
  <si>
    <t>Ribero</t>
  </si>
  <si>
    <t>Pampán</t>
  </si>
  <si>
    <t>Valencia</t>
  </si>
  <si>
    <t>Turén</t>
  </si>
  <si>
    <t>Veroes</t>
  </si>
  <si>
    <t>Santa María De Ipire</t>
  </si>
  <si>
    <t>Pampanito</t>
  </si>
  <si>
    <t>Pedro Zaraza</t>
  </si>
  <si>
    <t>Valdez</t>
  </si>
  <si>
    <t>Rafael Rangel</t>
  </si>
  <si>
    <t>San Rafael De Carvajal</t>
  </si>
  <si>
    <t>Valera</t>
  </si>
  <si>
    <t>Tabla para ubicar rango de Parroquias</t>
  </si>
  <si>
    <t>clave</t>
  </si>
  <si>
    <t>Codigo_Estado</t>
  </si>
  <si>
    <t>Nombre_Estado</t>
  </si>
  <si>
    <t>Codigo_Municipio</t>
  </si>
  <si>
    <t>Nombre_Municipio</t>
  </si>
  <si>
    <t>Codigo_Parroquia</t>
  </si>
  <si>
    <t>Nombre_Parroquia</t>
  </si>
  <si>
    <t>Aux_Mun</t>
  </si>
  <si>
    <t>Aux_Parr</t>
  </si>
  <si>
    <t>VE030502</t>
  </si>
  <si>
    <t>Atapirire</t>
  </si>
  <si>
    <t>VE030503</t>
  </si>
  <si>
    <t>Boca Del Pao</t>
  </si>
  <si>
    <t>VE030504</t>
  </si>
  <si>
    <t>El Pao</t>
  </si>
  <si>
    <t>VE030601</t>
  </si>
  <si>
    <t>VE030602</t>
  </si>
  <si>
    <t>Chorrerón</t>
  </si>
  <si>
    <t>VE030701</t>
  </si>
  <si>
    <t>VE030702</t>
  </si>
  <si>
    <t>Mamo</t>
  </si>
  <si>
    <t>VE030801</t>
  </si>
  <si>
    <t>Puerto La Cruz</t>
  </si>
  <si>
    <t>VE030802</t>
  </si>
  <si>
    <t>Pozuelos</t>
  </si>
  <si>
    <t>VE030901</t>
  </si>
  <si>
    <t>Capital Juan Manuel Cajigal</t>
  </si>
  <si>
    <t>VE030902</t>
  </si>
  <si>
    <t>San Pablo</t>
  </si>
  <si>
    <t>VE031001</t>
  </si>
  <si>
    <t>VE031002</t>
  </si>
  <si>
    <t>VE031003</t>
  </si>
  <si>
    <t>San Diego De Cabrutica</t>
  </si>
  <si>
    <t>VE031004</t>
  </si>
  <si>
    <t>Santa Clara</t>
  </si>
  <si>
    <t>VE031005</t>
  </si>
  <si>
    <t>Uverito</t>
  </si>
  <si>
    <t>VE031006</t>
  </si>
  <si>
    <t>Zuata</t>
  </si>
  <si>
    <t>VE031101</t>
  </si>
  <si>
    <t>Capital Libertad</t>
  </si>
  <si>
    <t>VE031102</t>
  </si>
  <si>
    <t>El Carito</t>
  </si>
  <si>
    <t>VE031103</t>
  </si>
  <si>
    <t>Santa Inés</t>
  </si>
  <si>
    <t>VE031201</t>
  </si>
  <si>
    <t>Capital Manuel Ezequiel Bruzual</t>
  </si>
  <si>
    <t>VE031202</t>
  </si>
  <si>
    <t>Guanape</t>
  </si>
  <si>
    <t>VE031203</t>
  </si>
  <si>
    <t>Sabana De Uchire</t>
  </si>
  <si>
    <t>VE031301</t>
  </si>
  <si>
    <t>Capital Pedro María Freites</t>
  </si>
  <si>
    <t>VE031302</t>
  </si>
  <si>
    <t>VE031303</t>
  </si>
  <si>
    <t>Santa Rosa</t>
  </si>
  <si>
    <t>VE031304</t>
  </si>
  <si>
    <t>Árica</t>
  </si>
  <si>
    <t>VE031401</t>
  </si>
  <si>
    <t>Capital Piritu</t>
  </si>
  <si>
    <t>VE031402</t>
  </si>
  <si>
    <t>San Francisco</t>
  </si>
  <si>
    <t>VE031501</t>
  </si>
  <si>
    <t>Capital San José De Guanipa</t>
  </si>
  <si>
    <t>VE031601</t>
  </si>
  <si>
    <t>Capital San Juan De Capistrano</t>
  </si>
  <si>
    <t>VE031602</t>
  </si>
  <si>
    <t>Boca De Chávez</t>
  </si>
  <si>
    <t>VE031701</t>
  </si>
  <si>
    <t>VE031702</t>
  </si>
  <si>
    <t>Pueblo Nuevo</t>
  </si>
  <si>
    <t>VE031801</t>
  </si>
  <si>
    <t>El Carmen</t>
  </si>
  <si>
    <t>VE031802</t>
  </si>
  <si>
    <t>San Cristóbal</t>
  </si>
  <si>
    <t>VE031803</t>
  </si>
  <si>
    <t>Bergantín</t>
  </si>
  <si>
    <t>VE031804</t>
  </si>
  <si>
    <t>Caigua</t>
  </si>
  <si>
    <t>VE031805</t>
  </si>
  <si>
    <t>El Pilar</t>
  </si>
  <si>
    <t>VE031806</t>
  </si>
  <si>
    <t>Naricual</t>
  </si>
  <si>
    <t>VE031901</t>
  </si>
  <si>
    <t>Edmundo Barrios</t>
  </si>
  <si>
    <t>VE031902</t>
  </si>
  <si>
    <t>Miguel Otero Silva</t>
  </si>
  <si>
    <t>VE032001</t>
  </si>
  <si>
    <t>Capital Sir Arthur Mc Gregor</t>
  </si>
  <si>
    <t>VE032002</t>
  </si>
  <si>
    <t>Tomas Alfaro Calatrava</t>
  </si>
  <si>
    <t>VE032101</t>
  </si>
  <si>
    <t>Capital Diego Bautista Urbaneja</t>
  </si>
  <si>
    <t>VE032102</t>
  </si>
  <si>
    <t>El Morro</t>
  </si>
  <si>
    <t>VE040101</t>
  </si>
  <si>
    <t>Urbana Achaguas</t>
  </si>
  <si>
    <t>VE040102</t>
  </si>
  <si>
    <t>Apurito</t>
  </si>
  <si>
    <t>VE040103</t>
  </si>
  <si>
    <t>El Yagual</t>
  </si>
  <si>
    <t>VE040104</t>
  </si>
  <si>
    <t>Guachara</t>
  </si>
  <si>
    <t>VE040105</t>
  </si>
  <si>
    <t>Mucuritas</t>
  </si>
  <si>
    <t>VE040106</t>
  </si>
  <si>
    <t>Queseras Del Medio</t>
  </si>
  <si>
    <t>VE040201</t>
  </si>
  <si>
    <t>Urbana Biruaca</t>
  </si>
  <si>
    <t>VE040301</t>
  </si>
  <si>
    <t>Urbana Bruzual</t>
  </si>
  <si>
    <t>VE040302</t>
  </si>
  <si>
    <t>Mantecal</t>
  </si>
  <si>
    <t>VE040303</t>
  </si>
  <si>
    <t>Quintero</t>
  </si>
  <si>
    <t>VE040304</t>
  </si>
  <si>
    <t>Rincón Hondo</t>
  </si>
  <si>
    <t>VE040305</t>
  </si>
  <si>
    <t>San Vicente</t>
  </si>
  <si>
    <t>VE040401</t>
  </si>
  <si>
    <t>Urbana Guasdualito</t>
  </si>
  <si>
    <t>VE040402</t>
  </si>
  <si>
    <t>VE040403</t>
  </si>
  <si>
    <t>El Amparo</t>
  </si>
  <si>
    <t>VE040404</t>
  </si>
  <si>
    <t>San Camilo</t>
  </si>
  <si>
    <t>VE040405</t>
  </si>
  <si>
    <t>VE040501</t>
  </si>
  <si>
    <t>San Juan De Payara</t>
  </si>
  <si>
    <t>VE040502</t>
  </si>
  <si>
    <t>Codazzi</t>
  </si>
  <si>
    <t>VE040503</t>
  </si>
  <si>
    <t>Cunaviche</t>
  </si>
  <si>
    <t>VE040601</t>
  </si>
  <si>
    <t>Urbana Elorza</t>
  </si>
  <si>
    <t>VE040602</t>
  </si>
  <si>
    <t>VE040701</t>
  </si>
  <si>
    <t>Urbana San Fernando De Apure</t>
  </si>
  <si>
    <t>VE040702</t>
  </si>
  <si>
    <t>VE040703</t>
  </si>
  <si>
    <t>Peñalver</t>
  </si>
  <si>
    <t>VE040704</t>
  </si>
  <si>
    <t>San Rafael De Atamaica</t>
  </si>
  <si>
    <t>VE050101</t>
  </si>
  <si>
    <t>Capital Bolívar</t>
  </si>
  <si>
    <t>VE050201</t>
  </si>
  <si>
    <t>VE050202</t>
  </si>
  <si>
    <t>No Urbana Carmen De Cura</t>
  </si>
  <si>
    <t>VE050302</t>
  </si>
  <si>
    <t>No Urbana Choroni</t>
  </si>
  <si>
    <t>VE050303</t>
  </si>
  <si>
    <t>Urbana Las Delicias</t>
  </si>
  <si>
    <t>VE050304</t>
  </si>
  <si>
    <t>Urbana Madre María De San José</t>
  </si>
  <si>
    <t>VE050305</t>
  </si>
  <si>
    <t>Urbana Joaquín Crespo</t>
  </si>
  <si>
    <t>VE050306</t>
  </si>
  <si>
    <t>Urbana Pedro José Ovalles</t>
  </si>
  <si>
    <t>VE050307</t>
  </si>
  <si>
    <t>Urbana José Casanova Godoy</t>
  </si>
  <si>
    <t>VE050308</t>
  </si>
  <si>
    <t>Urbana Andrés Eloy Blanco</t>
  </si>
  <si>
    <t>VE050309</t>
  </si>
  <si>
    <t>Urbana Los Tacariguas</t>
  </si>
  <si>
    <t>VE050401</t>
  </si>
  <si>
    <t>Capital José Ángel Lamas</t>
  </si>
  <si>
    <t>VE050501</t>
  </si>
  <si>
    <t>Urbana Juan Vicente Bolívar Y Ponte</t>
  </si>
  <si>
    <t>VE050502</t>
  </si>
  <si>
    <t>Urbana Castor Nieves Ríos</t>
  </si>
  <si>
    <t>VE050503</t>
  </si>
  <si>
    <t>No Urbana Las Guacamayas</t>
  </si>
  <si>
    <t>VE050504</t>
  </si>
  <si>
    <t>No Urbana Pao De Zarate</t>
  </si>
  <si>
    <t>VE050505</t>
  </si>
  <si>
    <t>No Urbana Zuata</t>
  </si>
  <si>
    <t>VE050601</t>
  </si>
  <si>
    <t>Capital José Rafael Revenga</t>
  </si>
  <si>
    <t>VE050701</t>
  </si>
  <si>
    <t>VE050702</t>
  </si>
  <si>
    <t>No Urbana San Martin De Porres</t>
  </si>
  <si>
    <t>VE050801</t>
  </si>
  <si>
    <t>VE050802</t>
  </si>
  <si>
    <t>Urbana Caña De Azúcar</t>
  </si>
  <si>
    <t>VE050901</t>
  </si>
  <si>
    <t>VE050902</t>
  </si>
  <si>
    <t>No Urbana Guiripa</t>
  </si>
  <si>
    <t>VE050903</t>
  </si>
  <si>
    <t>No Urbana Ollas De Caramacate</t>
  </si>
  <si>
    <t>VE050904</t>
  </si>
  <si>
    <t>No Urbana Valle Morín</t>
  </si>
  <si>
    <t>VE051001</t>
  </si>
  <si>
    <t>Capital San Sebastián</t>
  </si>
  <si>
    <t>VE051101</t>
  </si>
  <si>
    <t>VE051102</t>
  </si>
  <si>
    <t>No Urbana Arévalo Aponte</t>
  </si>
  <si>
    <t>VE051103</t>
  </si>
  <si>
    <t>No Urbana Chuao</t>
  </si>
  <si>
    <t>VE051104</t>
  </si>
  <si>
    <t>No Urbana Samán De Guere</t>
  </si>
  <si>
    <t>VE051105</t>
  </si>
  <si>
    <t>No Urbana  Alfredo Pacheco Miranda</t>
  </si>
  <si>
    <t>VE051201</t>
  </si>
  <si>
    <t>VE051202</t>
  </si>
  <si>
    <t>No Urbana Tiara</t>
  </si>
  <si>
    <t>VE051301</t>
  </si>
  <si>
    <t>VE051302</t>
  </si>
  <si>
    <t>No Urbana Bella Vista</t>
  </si>
  <si>
    <t>VE051401</t>
  </si>
  <si>
    <t>Capital Tovar</t>
  </si>
  <si>
    <t>VE051501</t>
  </si>
  <si>
    <t>VE051502</t>
  </si>
  <si>
    <t>No Urbana Las Peñitas</t>
  </si>
  <si>
    <t>VE051503</t>
  </si>
  <si>
    <t>No Urbana San Francisco De Cara</t>
  </si>
  <si>
    <t>VE051504</t>
  </si>
  <si>
    <t>No Urbana Taguay</t>
  </si>
  <si>
    <t>VE051601</t>
  </si>
  <si>
    <t>VE051602</t>
  </si>
  <si>
    <t>No Urbana Magdaleno</t>
  </si>
  <si>
    <t>VE051603</t>
  </si>
  <si>
    <t>No Urbana San Francisco De Asís</t>
  </si>
  <si>
    <t>VE051604</t>
  </si>
  <si>
    <t>No Urbana Valles De Tucutunemo</t>
  </si>
  <si>
    <t>VE051605</t>
  </si>
  <si>
    <t>No Urbana Augusto Mijares</t>
  </si>
  <si>
    <t>VE051701</t>
  </si>
  <si>
    <t>Francisco Linares Alcántara</t>
  </si>
  <si>
    <t>VE051702</t>
  </si>
  <si>
    <t>No Urbana Francisco De Miranda</t>
  </si>
  <si>
    <t>VE051703</t>
  </si>
  <si>
    <t>No Urbana Monseñor Feliciano González</t>
  </si>
  <si>
    <t>VE051801</t>
  </si>
  <si>
    <t>VE060101</t>
  </si>
  <si>
    <t>Sabaneta</t>
  </si>
  <si>
    <t>VE060102</t>
  </si>
  <si>
    <t>Rodríguez Domínguez</t>
  </si>
  <si>
    <t>VE0602</t>
  </si>
  <si>
    <t>VE060201</t>
  </si>
  <si>
    <t>Ticoporo</t>
  </si>
  <si>
    <t>VE060202</t>
  </si>
  <si>
    <t>VE060203</t>
  </si>
  <si>
    <t>Nicolás Pulido</t>
  </si>
  <si>
    <t>VE0603</t>
  </si>
  <si>
    <t>VE060301</t>
  </si>
  <si>
    <t>VE060302</t>
  </si>
  <si>
    <t>Guadarrama</t>
  </si>
  <si>
    <t>VE060303</t>
  </si>
  <si>
    <t>La Unión</t>
  </si>
  <si>
    <t>VE060304</t>
  </si>
  <si>
    <t>San Antonio</t>
  </si>
  <si>
    <t>VE0604</t>
  </si>
  <si>
    <t>VE060401</t>
  </si>
  <si>
    <t>VE060402</t>
  </si>
  <si>
    <t>Alfredo Arvelo Larriva</t>
  </si>
  <si>
    <t>VE060403</t>
  </si>
  <si>
    <t>San Silvestre</t>
  </si>
  <si>
    <t>VE060404</t>
  </si>
  <si>
    <t>VE060405</t>
  </si>
  <si>
    <t>Santa Lucia</t>
  </si>
  <si>
    <t>VE060406</t>
  </si>
  <si>
    <t>Torunos</t>
  </si>
  <si>
    <t>VE060407</t>
  </si>
  <si>
    <t>VE060408</t>
  </si>
  <si>
    <t>Don Rómulo Betancourt</t>
  </si>
  <si>
    <t>VE060409</t>
  </si>
  <si>
    <t>Corazón De Jesús</t>
  </si>
  <si>
    <t>VE060410</t>
  </si>
  <si>
    <t>Ramón Ignacio Méndez</t>
  </si>
  <si>
    <t>VE060411</t>
  </si>
  <si>
    <t>Alto Barinas</t>
  </si>
  <si>
    <t>VE060412</t>
  </si>
  <si>
    <t>Manuel Palacio Fajardo</t>
  </si>
  <si>
    <t>VE060413</t>
  </si>
  <si>
    <t>Juan Antonio Rodríguez Domínguez</t>
  </si>
  <si>
    <t>VE060414</t>
  </si>
  <si>
    <t>Dominga Ortiz De Páez</t>
  </si>
  <si>
    <t>VE0605</t>
  </si>
  <si>
    <t>VE060501</t>
  </si>
  <si>
    <t>Barinitas</t>
  </si>
  <si>
    <t>VE060502</t>
  </si>
  <si>
    <t>Altamira</t>
  </si>
  <si>
    <t>VE060503</t>
  </si>
  <si>
    <t>Calderas</t>
  </si>
  <si>
    <t>VE0606</t>
  </si>
  <si>
    <t>VE060601</t>
  </si>
  <si>
    <t>Barrancas</t>
  </si>
  <si>
    <t>VE060602</t>
  </si>
  <si>
    <t>VE060603</t>
  </si>
  <si>
    <t>Masparrito</t>
  </si>
  <si>
    <t>VE0607</t>
  </si>
  <si>
    <t>VE060701</t>
  </si>
  <si>
    <t>Santa Barbará</t>
  </si>
  <si>
    <t>VE060702</t>
  </si>
  <si>
    <t>José Ignacio Del Pumar Pedraza</t>
  </si>
  <si>
    <t>VE060703</t>
  </si>
  <si>
    <t>Pedro Briceño Méndez</t>
  </si>
  <si>
    <t>VE060704</t>
  </si>
  <si>
    <t>VE0608</t>
  </si>
  <si>
    <t>VE060801</t>
  </si>
  <si>
    <t>VE060802</t>
  </si>
  <si>
    <t>La Luz</t>
  </si>
  <si>
    <t>VE060803</t>
  </si>
  <si>
    <t>El Real</t>
  </si>
  <si>
    <t>VE060804</t>
  </si>
  <si>
    <t>Guasimitos</t>
  </si>
  <si>
    <t>VE0609</t>
  </si>
  <si>
    <t>VE060901</t>
  </si>
  <si>
    <t>Ciudad Bolivia</t>
  </si>
  <si>
    <t>VE060902</t>
  </si>
  <si>
    <t>Ignacio Briceño</t>
  </si>
  <si>
    <t>VE060903</t>
  </si>
  <si>
    <t>VE060904</t>
  </si>
  <si>
    <t>VE0610</t>
  </si>
  <si>
    <t>VE061001</t>
  </si>
  <si>
    <t>VE061002</t>
  </si>
  <si>
    <t>Dolores</t>
  </si>
  <si>
    <t>VE061003</t>
  </si>
  <si>
    <t>Palacios Fajardo</t>
  </si>
  <si>
    <t>VE061004</t>
  </si>
  <si>
    <t>VE061005</t>
  </si>
  <si>
    <t>VE0611</t>
  </si>
  <si>
    <t>VE061101</t>
  </si>
  <si>
    <t>Ciudad De Nutrias</t>
  </si>
  <si>
    <t>VE061102</t>
  </si>
  <si>
    <t>El Regalo</t>
  </si>
  <si>
    <t>VE061103</t>
  </si>
  <si>
    <t>Puerto De Nutrias</t>
  </si>
  <si>
    <t>VE061104</t>
  </si>
  <si>
    <t>Santa Catalina</t>
  </si>
  <si>
    <t>VE061105</t>
  </si>
  <si>
    <t>VE0612</t>
  </si>
  <si>
    <t>VE061201</t>
  </si>
  <si>
    <t>El Cantón</t>
  </si>
  <si>
    <t>VE061202</t>
  </si>
  <si>
    <t>Santa Cruz De Guacas</t>
  </si>
  <si>
    <t>VE061203</t>
  </si>
  <si>
    <t>Puerto Vivas</t>
  </si>
  <si>
    <t>VE0701</t>
  </si>
  <si>
    <t>VE070101</t>
  </si>
  <si>
    <t>Cachamay</t>
  </si>
  <si>
    <t>VE070102</t>
  </si>
  <si>
    <t>Chirica</t>
  </si>
  <si>
    <t>VE070103</t>
  </si>
  <si>
    <t>Dalla Costa</t>
  </si>
  <si>
    <t>VE070104</t>
  </si>
  <si>
    <t>Once De Abril</t>
  </si>
  <si>
    <t>VE070105</t>
  </si>
  <si>
    <t>VE070106</t>
  </si>
  <si>
    <t>Unare</t>
  </si>
  <si>
    <t>VE070107</t>
  </si>
  <si>
    <t>Universidad</t>
  </si>
  <si>
    <t>VE070108</t>
  </si>
  <si>
    <t>Vista Al Sol</t>
  </si>
  <si>
    <t>VE070109</t>
  </si>
  <si>
    <t>Pozo Verde</t>
  </si>
  <si>
    <t>VE070110</t>
  </si>
  <si>
    <t>Yocoima</t>
  </si>
  <si>
    <t>VE070111</t>
  </si>
  <si>
    <t>Cinco De Julio</t>
  </si>
  <si>
    <t>VE0702</t>
  </si>
  <si>
    <t>VE070201</t>
  </si>
  <si>
    <t>Sección Capital Cedeño</t>
  </si>
  <si>
    <t>VE070202</t>
  </si>
  <si>
    <t>VE070203</t>
  </si>
  <si>
    <t>Ascensión Farreras</t>
  </si>
  <si>
    <t>VE070204</t>
  </si>
  <si>
    <t>Guainiamo</t>
  </si>
  <si>
    <t>VE070205</t>
  </si>
  <si>
    <t>La Urbana</t>
  </si>
  <si>
    <t>VE070206</t>
  </si>
  <si>
    <t>Pijiguaos</t>
  </si>
  <si>
    <t>VE0703</t>
  </si>
  <si>
    <t>VE070301</t>
  </si>
  <si>
    <t>Sección Capital El Callao</t>
  </si>
  <si>
    <t>VE0704</t>
  </si>
  <si>
    <t>VE070401</t>
  </si>
  <si>
    <t>Sección Capital Gran Sabana</t>
  </si>
  <si>
    <t>VE070402</t>
  </si>
  <si>
    <t>Ikabaru</t>
  </si>
  <si>
    <t>VE0705</t>
  </si>
  <si>
    <t>VE070501</t>
  </si>
  <si>
    <t>Agua Salada</t>
  </si>
  <si>
    <t>VE070502</t>
  </si>
  <si>
    <t>VE070503</t>
  </si>
  <si>
    <t>VE070504</t>
  </si>
  <si>
    <t>La Sabanita</t>
  </si>
  <si>
    <t>VE070505</t>
  </si>
  <si>
    <t>Marhuanta</t>
  </si>
  <si>
    <t>VE070506</t>
  </si>
  <si>
    <t>Vista Hermosa</t>
  </si>
  <si>
    <t>VE070507</t>
  </si>
  <si>
    <t>Orinoco</t>
  </si>
  <si>
    <t>VE070508</t>
  </si>
  <si>
    <t>Panapana</t>
  </si>
  <si>
    <t>VE070509</t>
  </si>
  <si>
    <t>Zea</t>
  </si>
  <si>
    <t>VE0706</t>
  </si>
  <si>
    <t>VE070601</t>
  </si>
  <si>
    <t>Sección Capital Piar</t>
  </si>
  <si>
    <t>VE070602</t>
  </si>
  <si>
    <t>VE070603</t>
  </si>
  <si>
    <t>Pedro Cova</t>
  </si>
  <si>
    <t>VE0707</t>
  </si>
  <si>
    <t>VE070701</t>
  </si>
  <si>
    <t>Capital Angostura</t>
  </si>
  <si>
    <t>VE070702</t>
  </si>
  <si>
    <t>Barceloneta</t>
  </si>
  <si>
    <t>VE070703</t>
  </si>
  <si>
    <t>VE070704</t>
  </si>
  <si>
    <t>VE0708</t>
  </si>
  <si>
    <t>VE070801</t>
  </si>
  <si>
    <t>Sección Capital Roscio</t>
  </si>
  <si>
    <t>VE070802</t>
  </si>
  <si>
    <t>Salom</t>
  </si>
  <si>
    <t>VE0709</t>
  </si>
  <si>
    <t>VE070901</t>
  </si>
  <si>
    <t>Sección Capital Sifontes</t>
  </si>
  <si>
    <t>VE070902</t>
  </si>
  <si>
    <t>VE070903</t>
  </si>
  <si>
    <t>San Isidro</t>
  </si>
  <si>
    <t>VE0710</t>
  </si>
  <si>
    <t>VE071001</t>
  </si>
  <si>
    <t>Sección Capital Sucre</t>
  </si>
  <si>
    <t>VE071002</t>
  </si>
  <si>
    <t>Ariapo</t>
  </si>
  <si>
    <t>VE071003</t>
  </si>
  <si>
    <t>Guarataro</t>
  </si>
  <si>
    <t>VE071004</t>
  </si>
  <si>
    <t>Las Majadas</t>
  </si>
  <si>
    <t>VE071005</t>
  </si>
  <si>
    <t>Motiaco</t>
  </si>
  <si>
    <t>VE0711</t>
  </si>
  <si>
    <t>VE071101</t>
  </si>
  <si>
    <t>Sección Capital Padre Pedro Chien</t>
  </si>
  <si>
    <t>VE0801</t>
  </si>
  <si>
    <t>VE080101</t>
  </si>
  <si>
    <t>Urbana Bejuma</t>
  </si>
  <si>
    <t>VE080102</t>
  </si>
  <si>
    <t>No Urbana Canoabo</t>
  </si>
  <si>
    <t>VE080103</t>
  </si>
  <si>
    <t>No Urbana Simón Bolívar</t>
  </si>
  <si>
    <t>VE0802</t>
  </si>
  <si>
    <t>VE080201</t>
  </si>
  <si>
    <t>No Urbana Guigue</t>
  </si>
  <si>
    <t>VE080202</t>
  </si>
  <si>
    <t>No Urbana Belen</t>
  </si>
  <si>
    <t>VE080203</t>
  </si>
  <si>
    <t>No Urbana Tacarigua Central</t>
  </si>
  <si>
    <t>VE0803</t>
  </si>
  <si>
    <t>VE080301</t>
  </si>
  <si>
    <t>Urbana Aguas Calientes</t>
  </si>
  <si>
    <t>VE080302</t>
  </si>
  <si>
    <t>Urbana Mariara</t>
  </si>
  <si>
    <t>VE0804</t>
  </si>
  <si>
    <t>VE080401</t>
  </si>
  <si>
    <t>Urbana Ciudad Alianza</t>
  </si>
  <si>
    <t>VE080402</t>
  </si>
  <si>
    <t>Urbana Guacara</t>
  </si>
  <si>
    <t>VE080403</t>
  </si>
  <si>
    <t>No Urbana Yagua</t>
  </si>
  <si>
    <t>VE0805</t>
  </si>
  <si>
    <t>VE080501</t>
  </si>
  <si>
    <t>Urbana Morón</t>
  </si>
  <si>
    <t>VE080502</t>
  </si>
  <si>
    <t>No Urbana Urama</t>
  </si>
  <si>
    <t>VE0806</t>
  </si>
  <si>
    <t>VE080601</t>
  </si>
  <si>
    <t>Urbana Tocuyito</t>
  </si>
  <si>
    <t>VE080602</t>
  </si>
  <si>
    <t>Urbana Independencia</t>
  </si>
  <si>
    <t>VE0807</t>
  </si>
  <si>
    <t>VE080701</t>
  </si>
  <si>
    <t>Urbana Los Guayos</t>
  </si>
  <si>
    <t>VE0808</t>
  </si>
  <si>
    <t>VE080801</t>
  </si>
  <si>
    <t>Urbana Miranda</t>
  </si>
  <si>
    <t>VE0809</t>
  </si>
  <si>
    <t>VE080901</t>
  </si>
  <si>
    <t>Urbana Montalbán</t>
  </si>
  <si>
    <t>VE0810</t>
  </si>
  <si>
    <t>VE081001</t>
  </si>
  <si>
    <t>Urbana Naguanagua</t>
  </si>
  <si>
    <t>VE0811</t>
  </si>
  <si>
    <t>VE081101</t>
  </si>
  <si>
    <t>Urbana Bartolomé Salom</t>
  </si>
  <si>
    <t>VE081102</t>
  </si>
  <si>
    <t>Urbana Democracia</t>
  </si>
  <si>
    <t>VE081103</t>
  </si>
  <si>
    <t>Urbanafraternidad</t>
  </si>
  <si>
    <t>VE081104</t>
  </si>
  <si>
    <t>Urbana Goaigoaza</t>
  </si>
  <si>
    <t>VE081105</t>
  </si>
  <si>
    <t>Urbana Juan José Flores</t>
  </si>
  <si>
    <t>VE081106</t>
  </si>
  <si>
    <t>Urbana Unión</t>
  </si>
  <si>
    <t>VE081107</t>
  </si>
  <si>
    <t>No Urbana Borburata</t>
  </si>
  <si>
    <t>VE081108</t>
  </si>
  <si>
    <t>No Urbana Patanemo</t>
  </si>
  <si>
    <t>VE0812</t>
  </si>
  <si>
    <t>VE081201</t>
  </si>
  <si>
    <t>Urbana San Diego</t>
  </si>
  <si>
    <t>VE0813</t>
  </si>
  <si>
    <t>VE081301</t>
  </si>
  <si>
    <t>Urbana San Joaquín</t>
  </si>
  <si>
    <t>VE0814</t>
  </si>
  <si>
    <t>VE081401</t>
  </si>
  <si>
    <t>Urbana Candelaria</t>
  </si>
  <si>
    <t>VE081402</t>
  </si>
  <si>
    <t>Urbana Catedral</t>
  </si>
  <si>
    <t>VE081403</t>
  </si>
  <si>
    <t>Urbana El Socorro</t>
  </si>
  <si>
    <t>VE081404</t>
  </si>
  <si>
    <t>Urbana Miguel Peña</t>
  </si>
  <si>
    <t>VE081405</t>
  </si>
  <si>
    <t>Urbana Rafael Urdaneta</t>
  </si>
  <si>
    <t>VE081406</t>
  </si>
  <si>
    <t>Urbana San Blas</t>
  </si>
  <si>
    <t>VE081407</t>
  </si>
  <si>
    <t>Urbana San José</t>
  </si>
  <si>
    <t>VE081408</t>
  </si>
  <si>
    <t>Urbana Santa Rosa</t>
  </si>
  <si>
    <t>VE081409</t>
  </si>
  <si>
    <t>No Urbana Negro Primero</t>
  </si>
  <si>
    <t>VE0901</t>
  </si>
  <si>
    <t>VE090101</t>
  </si>
  <si>
    <t>VE090102</t>
  </si>
  <si>
    <t>Juan De Mata Suarez</t>
  </si>
  <si>
    <t>VE0902</t>
  </si>
  <si>
    <t>VE090201</t>
  </si>
  <si>
    <t>VE0903</t>
  </si>
  <si>
    <t>VE090301</t>
  </si>
  <si>
    <t>El Baúl</t>
  </si>
  <si>
    <t>VE090302</t>
  </si>
  <si>
    <t>VE0904</t>
  </si>
  <si>
    <t>VE090401</t>
  </si>
  <si>
    <t>Macapo</t>
  </si>
  <si>
    <t>VE090402</t>
  </si>
  <si>
    <t>La Aguadita</t>
  </si>
  <si>
    <t>VE0905</t>
  </si>
  <si>
    <t>VE090501</t>
  </si>
  <si>
    <t>VE0906</t>
  </si>
  <si>
    <t>VE090601</t>
  </si>
  <si>
    <t>Libertad De Cojedes</t>
  </si>
  <si>
    <t>VE090602</t>
  </si>
  <si>
    <t>VE0907</t>
  </si>
  <si>
    <t>VE090701</t>
  </si>
  <si>
    <t>VE0908</t>
  </si>
  <si>
    <t>VE090801</t>
  </si>
  <si>
    <t>San Carlos De Austria</t>
  </si>
  <si>
    <t>VE090802</t>
  </si>
  <si>
    <t>Juan Ángel Bravo</t>
  </si>
  <si>
    <t>VE090803</t>
  </si>
  <si>
    <t>Manuel Manrique</t>
  </si>
  <si>
    <t>VE0909</t>
  </si>
  <si>
    <t>VE090901</t>
  </si>
  <si>
    <t>General En Jefe José Laurencio Silva</t>
  </si>
  <si>
    <t>VE1001</t>
  </si>
  <si>
    <t>VE100101</t>
  </si>
  <si>
    <t>Curiapo</t>
  </si>
  <si>
    <t>VE100102</t>
  </si>
  <si>
    <t>Almirante Luis Brión</t>
  </si>
  <si>
    <t>VE100103</t>
  </si>
  <si>
    <t>Francisco Aniceto Lugo</t>
  </si>
  <si>
    <t>VE100104</t>
  </si>
  <si>
    <t>Manuel Renaud</t>
  </si>
  <si>
    <t>VE100105</t>
  </si>
  <si>
    <t>Padre Barral</t>
  </si>
  <si>
    <t>VE100106</t>
  </si>
  <si>
    <t>Santos De Abelgas</t>
  </si>
  <si>
    <t>VE1002</t>
  </si>
  <si>
    <t>VE100201</t>
  </si>
  <si>
    <t>Imataca</t>
  </si>
  <si>
    <t>VE100202</t>
  </si>
  <si>
    <t>VE100203</t>
  </si>
  <si>
    <t>Juan Bautista Arismendi</t>
  </si>
  <si>
    <t>VE100204</t>
  </si>
  <si>
    <t>Manuel Piar</t>
  </si>
  <si>
    <t>VE100205</t>
  </si>
  <si>
    <t>VE1003</t>
  </si>
  <si>
    <t>VE100301</t>
  </si>
  <si>
    <t>VE100302</t>
  </si>
  <si>
    <t>Luis Beltrán Prieto Figueroa</t>
  </si>
  <si>
    <t>VE1004</t>
  </si>
  <si>
    <t>VE100401</t>
  </si>
  <si>
    <t>VE100402</t>
  </si>
  <si>
    <t>José Vidal Marcano</t>
  </si>
  <si>
    <t>VE100403</t>
  </si>
  <si>
    <t>Juan Millán</t>
  </si>
  <si>
    <t>VE100404</t>
  </si>
  <si>
    <t>Leonardo Ruiz Pineda</t>
  </si>
  <si>
    <t>VE100405</t>
  </si>
  <si>
    <t>Mariscal Antonio José De Sucre</t>
  </si>
  <si>
    <t>VE100406</t>
  </si>
  <si>
    <t>Monseñor Argimiro García</t>
  </si>
  <si>
    <t>VE100407</t>
  </si>
  <si>
    <t>San Rafael</t>
  </si>
  <si>
    <t>VE100408</t>
  </si>
  <si>
    <t>Virgen Del Valle</t>
  </si>
  <si>
    <t>VE1101</t>
  </si>
  <si>
    <t>VE110101</t>
  </si>
  <si>
    <t>San Juan De Los Cayos</t>
  </si>
  <si>
    <t>VE110102</t>
  </si>
  <si>
    <t>Capadare</t>
  </si>
  <si>
    <t>VE110103</t>
  </si>
  <si>
    <t>VE110104</t>
  </si>
  <si>
    <t>VE1102</t>
  </si>
  <si>
    <t>VE110201</t>
  </si>
  <si>
    <t>San Luis</t>
  </si>
  <si>
    <t>VE110202</t>
  </si>
  <si>
    <t>Aracua</t>
  </si>
  <si>
    <t>VE110203</t>
  </si>
  <si>
    <t>La Peña</t>
  </si>
  <si>
    <t>VE1103</t>
  </si>
  <si>
    <t>Buchivacoa</t>
  </si>
  <si>
    <t>VE110301</t>
  </si>
  <si>
    <t>Capatarida</t>
  </si>
  <si>
    <t>VE110302</t>
  </si>
  <si>
    <t>Bariro</t>
  </si>
  <si>
    <t>VE110303</t>
  </si>
  <si>
    <t>Borojo</t>
  </si>
  <si>
    <t>VE110304</t>
  </si>
  <si>
    <t>Guajiro</t>
  </si>
  <si>
    <t>VE110305</t>
  </si>
  <si>
    <t>Seque</t>
  </si>
  <si>
    <t>VE110306</t>
  </si>
  <si>
    <t>Zazarida</t>
  </si>
  <si>
    <t>VE1104</t>
  </si>
  <si>
    <t>Cacique Manaure</t>
  </si>
  <si>
    <t>VE110401</t>
  </si>
  <si>
    <t>VE1105</t>
  </si>
  <si>
    <t>Carirubana</t>
  </si>
  <si>
    <t>VE110501</t>
  </si>
  <si>
    <t>VE110502</t>
  </si>
  <si>
    <t>Norte</t>
  </si>
  <si>
    <t>VE110503</t>
  </si>
  <si>
    <t>Punta Cardón</t>
  </si>
  <si>
    <t>VE110504</t>
  </si>
  <si>
    <t>VE1106</t>
  </si>
  <si>
    <t>Colina</t>
  </si>
  <si>
    <t>VE110601</t>
  </si>
  <si>
    <t>La Vela De Coro</t>
  </si>
  <si>
    <t>VE110602</t>
  </si>
  <si>
    <t>Acurigua</t>
  </si>
  <si>
    <t>VE110603</t>
  </si>
  <si>
    <t>Guaibacoa</t>
  </si>
  <si>
    <t>VE110604</t>
  </si>
  <si>
    <t>Las Calderas</t>
  </si>
  <si>
    <t>VE110605</t>
  </si>
  <si>
    <t>Macoruca</t>
  </si>
  <si>
    <t>VE1107</t>
  </si>
  <si>
    <t>Dabajuro</t>
  </si>
  <si>
    <t>VE110701</t>
  </si>
  <si>
    <t>VE1108</t>
  </si>
  <si>
    <t>Democracia</t>
  </si>
  <si>
    <t>VE110801</t>
  </si>
  <si>
    <t>Pedregal</t>
  </si>
  <si>
    <t>VE110802</t>
  </si>
  <si>
    <t>Agua Clara</t>
  </si>
  <si>
    <t>VE110803</t>
  </si>
  <si>
    <t>Avaria</t>
  </si>
  <si>
    <t>VE110804</t>
  </si>
  <si>
    <t>Piedra Grande</t>
  </si>
  <si>
    <t>VE110805</t>
  </si>
  <si>
    <t>Purureche</t>
  </si>
  <si>
    <t>VE1109</t>
  </si>
  <si>
    <t>VE110901</t>
  </si>
  <si>
    <t>VE110902</t>
  </si>
  <si>
    <t>Adicora</t>
  </si>
  <si>
    <t>VE110903</t>
  </si>
  <si>
    <t>Baraived</t>
  </si>
  <si>
    <t>VE110904</t>
  </si>
  <si>
    <t>Buena Vista</t>
  </si>
  <si>
    <t>VE110905</t>
  </si>
  <si>
    <t>Jadacaquiva</t>
  </si>
  <si>
    <t>VE110906</t>
  </si>
  <si>
    <t>Moruy</t>
  </si>
  <si>
    <t>VE110907</t>
  </si>
  <si>
    <t>Adaure</t>
  </si>
  <si>
    <t>VE110908</t>
  </si>
  <si>
    <t>El Hato</t>
  </si>
  <si>
    <t>VE110909</t>
  </si>
  <si>
    <t>El Vinculo</t>
  </si>
  <si>
    <t>VE1110</t>
  </si>
  <si>
    <t>Federación</t>
  </si>
  <si>
    <t>VE111001</t>
  </si>
  <si>
    <t>Churuguara</t>
  </si>
  <si>
    <t>VE111002</t>
  </si>
  <si>
    <t>Agua Larga</t>
  </si>
  <si>
    <t>VE111003</t>
  </si>
  <si>
    <t>El Paují</t>
  </si>
  <si>
    <t>VE111004</t>
  </si>
  <si>
    <t>VE111005</t>
  </si>
  <si>
    <t>Maparari</t>
  </si>
  <si>
    <t>VE1111</t>
  </si>
  <si>
    <t>Jacura</t>
  </si>
  <si>
    <t>VE111101</t>
  </si>
  <si>
    <t>VE111102</t>
  </si>
  <si>
    <t>Agua Linda</t>
  </si>
  <si>
    <t>VE111103</t>
  </si>
  <si>
    <t>Araurima</t>
  </si>
  <si>
    <t>VE1112</t>
  </si>
  <si>
    <t>Los Taques</t>
  </si>
  <si>
    <t>VE111201</t>
  </si>
  <si>
    <t>VE111202</t>
  </si>
  <si>
    <t>Judibana</t>
  </si>
  <si>
    <t>VE1113</t>
  </si>
  <si>
    <t>Mauroa</t>
  </si>
  <si>
    <t>VE111301</t>
  </si>
  <si>
    <t>Mene De Mauroa</t>
  </si>
  <si>
    <t>VE111302</t>
  </si>
  <si>
    <t>Casigua</t>
  </si>
  <si>
    <t>VE111303</t>
  </si>
  <si>
    <t>San Félix</t>
  </si>
  <si>
    <t>VE1114</t>
  </si>
  <si>
    <t>VE111401</t>
  </si>
  <si>
    <t>VE111402</t>
  </si>
  <si>
    <t>San Gabriel</t>
  </si>
  <si>
    <t>VE111403</t>
  </si>
  <si>
    <t>VE111404</t>
  </si>
  <si>
    <t>Guzmán Guillermo</t>
  </si>
  <si>
    <t>VE111405</t>
  </si>
  <si>
    <t>Mitare</t>
  </si>
  <si>
    <t>VE111406</t>
  </si>
  <si>
    <t>Rio Seco</t>
  </si>
  <si>
    <t>VE111407</t>
  </si>
  <si>
    <t>VE1115</t>
  </si>
  <si>
    <t>Monseñor Iturriza</t>
  </si>
  <si>
    <t>VE111501</t>
  </si>
  <si>
    <t>Chichiriviche</t>
  </si>
  <si>
    <t>VE111502</t>
  </si>
  <si>
    <t>Boca De Tocuyo</t>
  </si>
  <si>
    <t>VE111503</t>
  </si>
  <si>
    <t>Tocuyo De La Costa</t>
  </si>
  <si>
    <t>VE1116</t>
  </si>
  <si>
    <t>Palmasola</t>
  </si>
  <si>
    <t>VE111601</t>
  </si>
  <si>
    <t>VE1117</t>
  </si>
  <si>
    <t>Petit</t>
  </si>
  <si>
    <t>VE111701</t>
  </si>
  <si>
    <t>Cabure</t>
  </si>
  <si>
    <t>VE111702</t>
  </si>
  <si>
    <t>VE111703</t>
  </si>
  <si>
    <t>Curimagua</t>
  </si>
  <si>
    <t>VE1118</t>
  </si>
  <si>
    <t>VE111801</t>
  </si>
  <si>
    <t>Piritu</t>
  </si>
  <si>
    <t>VE111802</t>
  </si>
  <si>
    <t>San José De La Costa</t>
  </si>
  <si>
    <t>VE1119</t>
  </si>
  <si>
    <t>VE111901</t>
  </si>
  <si>
    <t>VE1120</t>
  </si>
  <si>
    <t>Silva</t>
  </si>
  <si>
    <t>VE112001</t>
  </si>
  <si>
    <t>Tucacas</t>
  </si>
  <si>
    <t>VE112002</t>
  </si>
  <si>
    <t>Boca De Aroa</t>
  </si>
  <si>
    <t>VE1121</t>
  </si>
  <si>
    <t>VE112101</t>
  </si>
  <si>
    <t>VE112102</t>
  </si>
  <si>
    <t>Pecaya</t>
  </si>
  <si>
    <t>VE1122</t>
  </si>
  <si>
    <t>Tocópero</t>
  </si>
  <si>
    <t>VE112201</t>
  </si>
  <si>
    <t>Tocopero</t>
  </si>
  <si>
    <t>VE1123</t>
  </si>
  <si>
    <t>Unión</t>
  </si>
  <si>
    <t>VE112301</t>
  </si>
  <si>
    <t>Santa Cruz De Bucaral</t>
  </si>
  <si>
    <t>VE112302</t>
  </si>
  <si>
    <t>El Charal</t>
  </si>
  <si>
    <t>VE112303</t>
  </si>
  <si>
    <t>Las Vegas Deltuy</t>
  </si>
  <si>
    <t>VE1124</t>
  </si>
  <si>
    <t>Urumaco</t>
  </si>
  <si>
    <t>VE112401</t>
  </si>
  <si>
    <t>VE112402</t>
  </si>
  <si>
    <t>VE1125</t>
  </si>
  <si>
    <t>VE112501</t>
  </si>
  <si>
    <t>Puerto Cumarebo</t>
  </si>
  <si>
    <t>VE112502</t>
  </si>
  <si>
    <t>La Ciénaga</t>
  </si>
  <si>
    <t>VE112503</t>
  </si>
  <si>
    <t>La Soledad</t>
  </si>
  <si>
    <t>VE112504</t>
  </si>
  <si>
    <t>Pueblo Cumarebo</t>
  </si>
  <si>
    <t>VE112505</t>
  </si>
  <si>
    <t>VE1201</t>
  </si>
  <si>
    <t>VE120101</t>
  </si>
  <si>
    <t>Camaguan</t>
  </si>
  <si>
    <t>VE120102</t>
  </si>
  <si>
    <t>Puerto Miranda</t>
  </si>
  <si>
    <t>VE120103</t>
  </si>
  <si>
    <t>VE1202</t>
  </si>
  <si>
    <t>VE120201</t>
  </si>
  <si>
    <t>VE1203</t>
  </si>
  <si>
    <t>VE120301</t>
  </si>
  <si>
    <t>VE1204</t>
  </si>
  <si>
    <t>VE120401</t>
  </si>
  <si>
    <t>Capital San Gerónimo De Guayabal</t>
  </si>
  <si>
    <t>VE120402</t>
  </si>
  <si>
    <t>Cazorla</t>
  </si>
  <si>
    <t>VE1205</t>
  </si>
  <si>
    <t>VE120501</t>
  </si>
  <si>
    <t>Capital Valle De La Pascua</t>
  </si>
  <si>
    <t>VE120502</t>
  </si>
  <si>
    <t>Espino</t>
  </si>
  <si>
    <t>VE1206</t>
  </si>
  <si>
    <t>VE120601</t>
  </si>
  <si>
    <t>Capital Las Mercedes</t>
  </si>
  <si>
    <t>VE120602</t>
  </si>
  <si>
    <t>Cabruta</t>
  </si>
  <si>
    <t>VE120603</t>
  </si>
  <si>
    <t>Santa Rita De Manapire</t>
  </si>
  <si>
    <t>VE1207</t>
  </si>
  <si>
    <t>VE120701</t>
  </si>
  <si>
    <t>Capital El Sombrero</t>
  </si>
  <si>
    <t>VE120702</t>
  </si>
  <si>
    <t>VE1208</t>
  </si>
  <si>
    <t>VE120801</t>
  </si>
  <si>
    <t>Capital Calabozo</t>
  </si>
  <si>
    <t>VE120802</t>
  </si>
  <si>
    <t>El Calvario</t>
  </si>
  <si>
    <t>VE120803</t>
  </si>
  <si>
    <t>El Rastro</t>
  </si>
  <si>
    <t>VE120804</t>
  </si>
  <si>
    <t>Guardatinajas</t>
  </si>
  <si>
    <t>VE1209</t>
  </si>
  <si>
    <t>VE120901</t>
  </si>
  <si>
    <t>Capital Altagracia De Orituco</t>
  </si>
  <si>
    <t>VE120902</t>
  </si>
  <si>
    <t>Lezama</t>
  </si>
  <si>
    <t>VE120903</t>
  </si>
  <si>
    <t>Libertad De Orituco</t>
  </si>
  <si>
    <t>VE120904</t>
  </si>
  <si>
    <t>Paso Real De Macaira</t>
  </si>
  <si>
    <t>VE120905</t>
  </si>
  <si>
    <t>San Francisco De Macaira</t>
  </si>
  <si>
    <t>VE120906</t>
  </si>
  <si>
    <t>San Rafael De Orituco</t>
  </si>
  <si>
    <t>VE120907</t>
  </si>
  <si>
    <t>Soublette</t>
  </si>
  <si>
    <t>VE1210</t>
  </si>
  <si>
    <t>VE121001</t>
  </si>
  <si>
    <t>Capital Ortiz</t>
  </si>
  <si>
    <t>VE121002</t>
  </si>
  <si>
    <t>San Francisco De Tiznados</t>
  </si>
  <si>
    <t>VE121003</t>
  </si>
  <si>
    <t>San José De Tiznados</t>
  </si>
  <si>
    <t>VE121004</t>
  </si>
  <si>
    <t>San Lorenzo De Tiznados</t>
  </si>
  <si>
    <t>VE1211</t>
  </si>
  <si>
    <t>VE121101</t>
  </si>
  <si>
    <t>Capital Tucupido</t>
  </si>
  <si>
    <t>VE121102</t>
  </si>
  <si>
    <t>San Rafael De Laya</t>
  </si>
  <si>
    <t>VE1212</t>
  </si>
  <si>
    <t>VE121201</t>
  </si>
  <si>
    <t>Capital San Juan De Los Morros</t>
  </si>
  <si>
    <t>VE121202</t>
  </si>
  <si>
    <t>Cantagallo</t>
  </si>
  <si>
    <t>VE121203</t>
  </si>
  <si>
    <t>Parapara</t>
  </si>
  <si>
    <t>VE1213</t>
  </si>
  <si>
    <t>VE121301</t>
  </si>
  <si>
    <t>VE1214</t>
  </si>
  <si>
    <t>VE121401</t>
  </si>
  <si>
    <t>Capital Santa María De Ipire</t>
  </si>
  <si>
    <t>VE121402</t>
  </si>
  <si>
    <t>VE1215</t>
  </si>
  <si>
    <t>VE121501</t>
  </si>
  <si>
    <t>Capital Zaraza</t>
  </si>
  <si>
    <t>VE121502</t>
  </si>
  <si>
    <t>San José De Unare</t>
  </si>
  <si>
    <t>VE1301</t>
  </si>
  <si>
    <t>VE130101</t>
  </si>
  <si>
    <t>Pio Tamayo</t>
  </si>
  <si>
    <t>VE130102</t>
  </si>
  <si>
    <t>Quebrada Honda De Guache</t>
  </si>
  <si>
    <t>VE130103</t>
  </si>
  <si>
    <t>Yacambu</t>
  </si>
  <si>
    <t>VE1302</t>
  </si>
  <si>
    <t>VE130201</t>
  </si>
  <si>
    <t>Freitez</t>
  </si>
  <si>
    <t>VE130202</t>
  </si>
  <si>
    <t>José María Blanco</t>
  </si>
  <si>
    <t>VE1303</t>
  </si>
  <si>
    <t>VE130301</t>
  </si>
  <si>
    <t>VE130302</t>
  </si>
  <si>
    <t>Concepción</t>
  </si>
  <si>
    <t>VE130303</t>
  </si>
  <si>
    <t>El Cují</t>
  </si>
  <si>
    <t>VE130304</t>
  </si>
  <si>
    <t>Juan De Villegas</t>
  </si>
  <si>
    <t>VE130305</t>
  </si>
  <si>
    <t>VE130306</t>
  </si>
  <si>
    <t>Tamaca</t>
  </si>
  <si>
    <t>VE130307</t>
  </si>
  <si>
    <t>VE130308</t>
  </si>
  <si>
    <t>Aguedo Felipe Alvarado</t>
  </si>
  <si>
    <t>VE130309</t>
  </si>
  <si>
    <t>VE130310</t>
  </si>
  <si>
    <t>Juárez</t>
  </si>
  <si>
    <t>VE1304</t>
  </si>
  <si>
    <t>VE130401</t>
  </si>
  <si>
    <t>Juan Bautista Rodríguez</t>
  </si>
  <si>
    <t>VE130402</t>
  </si>
  <si>
    <t>Cuara</t>
  </si>
  <si>
    <t>VE130403</t>
  </si>
  <si>
    <t>Diego De Lozada</t>
  </si>
  <si>
    <t>VE130404</t>
  </si>
  <si>
    <t>Paraíso De San José</t>
  </si>
  <si>
    <t>VE130405</t>
  </si>
  <si>
    <t>VE130406</t>
  </si>
  <si>
    <t>Tintorero</t>
  </si>
  <si>
    <t>VE130407</t>
  </si>
  <si>
    <t>Cabo José Dorante</t>
  </si>
  <si>
    <t>VE130408</t>
  </si>
  <si>
    <t>Coronel Mariano Peraza</t>
  </si>
  <si>
    <t>VE1305</t>
  </si>
  <si>
    <t>VE130501</t>
  </si>
  <si>
    <t>VE130502</t>
  </si>
  <si>
    <t>VE130503</t>
  </si>
  <si>
    <t>VE130504</t>
  </si>
  <si>
    <t>Hilario Luna Y Luna</t>
  </si>
  <si>
    <t>VE130505</t>
  </si>
  <si>
    <t>Humocaro Alto</t>
  </si>
  <si>
    <t>VE130506</t>
  </si>
  <si>
    <t>Humocaro Bajo</t>
  </si>
  <si>
    <t>VE130507</t>
  </si>
  <si>
    <t>La Candelaria</t>
  </si>
  <si>
    <t>VE130508</t>
  </si>
  <si>
    <t>Moran</t>
  </si>
  <si>
    <t>VE1306</t>
  </si>
  <si>
    <t>VE130601</t>
  </si>
  <si>
    <t>Cabudare</t>
  </si>
  <si>
    <t>VE130602</t>
  </si>
  <si>
    <t>José Gregorio Bastidas</t>
  </si>
  <si>
    <t>VE130603</t>
  </si>
  <si>
    <t>Agua Viva</t>
  </si>
  <si>
    <t>VE1307</t>
  </si>
  <si>
    <t>VE130701</t>
  </si>
  <si>
    <t>Sarare</t>
  </si>
  <si>
    <t>VE130702</t>
  </si>
  <si>
    <t>Buria</t>
  </si>
  <si>
    <t>VE130703</t>
  </si>
  <si>
    <t>Gustavo Vegas León</t>
  </si>
  <si>
    <t>VE1308</t>
  </si>
  <si>
    <t>VE130801</t>
  </si>
  <si>
    <t>Trinidad Samuel</t>
  </si>
  <si>
    <t>VE130802</t>
  </si>
  <si>
    <t>VE130803</t>
  </si>
  <si>
    <t>Reyes Vargas</t>
  </si>
  <si>
    <t>VE130804</t>
  </si>
  <si>
    <t>Castañeda</t>
  </si>
  <si>
    <t>VE130805</t>
  </si>
  <si>
    <t>Cecilio Zubillaga</t>
  </si>
  <si>
    <t>VE130806</t>
  </si>
  <si>
    <t>Chiquinquira</t>
  </si>
  <si>
    <t>VE130807</t>
  </si>
  <si>
    <t>El Blanco</t>
  </si>
  <si>
    <t>VE130808</t>
  </si>
  <si>
    <t>Espinoza De Los Monteros</t>
  </si>
  <si>
    <t>VE130809</t>
  </si>
  <si>
    <t>VE130810</t>
  </si>
  <si>
    <t>VE130811</t>
  </si>
  <si>
    <t>Manuel Morillo</t>
  </si>
  <si>
    <t>VE130812</t>
  </si>
  <si>
    <t>Montaña Verde</t>
  </si>
  <si>
    <t>VE130813</t>
  </si>
  <si>
    <t>Montes De Oca</t>
  </si>
  <si>
    <t>VE130814</t>
  </si>
  <si>
    <t>VE130816</t>
  </si>
  <si>
    <t>Camacaro</t>
  </si>
  <si>
    <t>VE130817</t>
  </si>
  <si>
    <t>VE1309</t>
  </si>
  <si>
    <t>VE130901</t>
  </si>
  <si>
    <t>Siquisique</t>
  </si>
  <si>
    <t>VE130902</t>
  </si>
  <si>
    <t>Moroturo</t>
  </si>
  <si>
    <t>VE130903</t>
  </si>
  <si>
    <t>VE130904</t>
  </si>
  <si>
    <t>Xaguas</t>
  </si>
  <si>
    <t>VE1401</t>
  </si>
  <si>
    <t>Alberto Adriani</t>
  </si>
  <si>
    <t>VE140101</t>
  </si>
  <si>
    <t>Presidente Betancourt</t>
  </si>
  <si>
    <t>VE140102</t>
  </si>
  <si>
    <t>Presidente Páez</t>
  </si>
  <si>
    <t>VE140103</t>
  </si>
  <si>
    <t>Presidente Rómulo Gallegos</t>
  </si>
  <si>
    <t>VE140104</t>
  </si>
  <si>
    <t>Gabriel Picón González</t>
  </si>
  <si>
    <t>VE140105</t>
  </si>
  <si>
    <t>Héctor Amable Mora</t>
  </si>
  <si>
    <t>VE140106</t>
  </si>
  <si>
    <t>José Nucete Sardi</t>
  </si>
  <si>
    <t>VE140107</t>
  </si>
  <si>
    <t>Pulido Méndez</t>
  </si>
  <si>
    <t>VE1402</t>
  </si>
  <si>
    <t>VE140201</t>
  </si>
  <si>
    <t>VE1403</t>
  </si>
  <si>
    <t>Antonio Pinto Salinas</t>
  </si>
  <si>
    <t>VE140301</t>
  </si>
  <si>
    <t>Capital Pinto Salinas</t>
  </si>
  <si>
    <t>VE140302</t>
  </si>
  <si>
    <t>Mesa De Bolívar</t>
  </si>
  <si>
    <t>VE140303</t>
  </si>
  <si>
    <t>Mesa De Las Palmas</t>
  </si>
  <si>
    <t>VE1404</t>
  </si>
  <si>
    <t>Aricagua</t>
  </si>
  <si>
    <t>VE140401</t>
  </si>
  <si>
    <t>Capital Aricagua</t>
  </si>
  <si>
    <t>VE140402</t>
  </si>
  <si>
    <t>VE1405</t>
  </si>
  <si>
    <t>Arzobispo Chacón</t>
  </si>
  <si>
    <t>VE140501</t>
  </si>
  <si>
    <t>Capital Arzobispo Chacón</t>
  </si>
  <si>
    <t>VE140502</t>
  </si>
  <si>
    <t>Capuri</t>
  </si>
  <si>
    <t>VE140503</t>
  </si>
  <si>
    <t>Chacanta</t>
  </si>
  <si>
    <t>VE140504</t>
  </si>
  <si>
    <t>El Molino</t>
  </si>
  <si>
    <t>VE140505</t>
  </si>
  <si>
    <t>Guaimaral</t>
  </si>
  <si>
    <t>VE140506</t>
  </si>
  <si>
    <t>Mucutuy</t>
  </si>
  <si>
    <t>VE140507</t>
  </si>
  <si>
    <t>Mucuchachi</t>
  </si>
  <si>
    <t>VE1406</t>
  </si>
  <si>
    <t>Campo Elías</t>
  </si>
  <si>
    <t>VE140601</t>
  </si>
  <si>
    <t>Fernández Peña</t>
  </si>
  <si>
    <t>VE140602</t>
  </si>
  <si>
    <t>Matriz</t>
  </si>
  <si>
    <t>VE140603</t>
  </si>
  <si>
    <t>VE140604</t>
  </si>
  <si>
    <t>Acequias</t>
  </si>
  <si>
    <t>VE140605</t>
  </si>
  <si>
    <t>Jaji</t>
  </si>
  <si>
    <t>VE140606</t>
  </si>
  <si>
    <t>La Mesa</t>
  </si>
  <si>
    <t>VE140607</t>
  </si>
  <si>
    <t>San José Del Sur</t>
  </si>
  <si>
    <t>VE1407</t>
  </si>
  <si>
    <t>Caracciolo Parra Olmedo</t>
  </si>
  <si>
    <t>VE140701</t>
  </si>
  <si>
    <t>Capital Caracciolo Parra Olmedo</t>
  </si>
  <si>
    <t>VE140702</t>
  </si>
  <si>
    <t>Florencio Ramírez</t>
  </si>
  <si>
    <t>VE1408</t>
  </si>
  <si>
    <t>Cardenal Quintero</t>
  </si>
  <si>
    <t>VE140801</t>
  </si>
  <si>
    <t>Capital Cardenal Quintero</t>
  </si>
  <si>
    <t>VE140802</t>
  </si>
  <si>
    <t>Las Piedras</t>
  </si>
  <si>
    <t>VE1409</t>
  </si>
  <si>
    <t>Guaraque</t>
  </si>
  <si>
    <t>VE140901</t>
  </si>
  <si>
    <t>Capital Guaraque</t>
  </si>
  <si>
    <t>VE140902</t>
  </si>
  <si>
    <t>Mesa De Quintero</t>
  </si>
  <si>
    <t>VE140903</t>
  </si>
  <si>
    <t>Rio Negro</t>
  </si>
  <si>
    <t>VE1410</t>
  </si>
  <si>
    <t>Julio Cesar Sala</t>
  </si>
  <si>
    <t>VE141002</t>
  </si>
  <si>
    <t>Palmira</t>
  </si>
  <si>
    <t>VE1411</t>
  </si>
  <si>
    <t>Justo Briceño</t>
  </si>
  <si>
    <t>VE141101</t>
  </si>
  <si>
    <t>Capital Justo Briceño</t>
  </si>
  <si>
    <t>VE141102</t>
  </si>
  <si>
    <t>San Cristóbal De Torondoy</t>
  </si>
  <si>
    <t>VE1412</t>
  </si>
  <si>
    <t>VE141201</t>
  </si>
  <si>
    <t>Antonio Spinetti Dini</t>
  </si>
  <si>
    <t>VE141202</t>
  </si>
  <si>
    <t>Arias</t>
  </si>
  <si>
    <t>VE141203</t>
  </si>
  <si>
    <t>Caracciolo Parra Perez</t>
  </si>
  <si>
    <t>VE141204</t>
  </si>
  <si>
    <t>Domingo Peña</t>
  </si>
  <si>
    <t>VE141205</t>
  </si>
  <si>
    <t>El Llano</t>
  </si>
  <si>
    <t>VE141206</t>
  </si>
  <si>
    <t>Gonzalo Picón Febres</t>
  </si>
  <si>
    <t>VE141207</t>
  </si>
  <si>
    <t>Jacinto Plaza</t>
  </si>
  <si>
    <t>VE141208</t>
  </si>
  <si>
    <t>Juan Rodríguez Suarez</t>
  </si>
  <si>
    <t>VE141209</t>
  </si>
  <si>
    <t>Lasso De La Vega</t>
  </si>
  <si>
    <t>VE141210</t>
  </si>
  <si>
    <t>Mariano Picón Salas</t>
  </si>
  <si>
    <t>VE141211</t>
  </si>
  <si>
    <t>Milla</t>
  </si>
  <si>
    <t>VE141212</t>
  </si>
  <si>
    <t>Osuna Rodríguez</t>
  </si>
  <si>
    <t>VE141213</t>
  </si>
  <si>
    <t>Sagrario</t>
  </si>
  <si>
    <t>VE141214</t>
  </si>
  <si>
    <t>VE141215</t>
  </si>
  <si>
    <t>Los Nevados</t>
  </si>
  <si>
    <t>VE1413</t>
  </si>
  <si>
    <t>VE141301</t>
  </si>
  <si>
    <t>Capital Miranda</t>
  </si>
  <si>
    <t>VE141302</t>
  </si>
  <si>
    <t>VE141303</t>
  </si>
  <si>
    <t>La Venta</t>
  </si>
  <si>
    <t>VE141304</t>
  </si>
  <si>
    <t>Piñango</t>
  </si>
  <si>
    <t>VE1414</t>
  </si>
  <si>
    <t>Obispo Ramos De Lora</t>
  </si>
  <si>
    <t>VE141401</t>
  </si>
  <si>
    <t>Capital Obispo Ramos De Lora</t>
  </si>
  <si>
    <t>VE141402</t>
  </si>
  <si>
    <t>Eloy Paredes</t>
  </si>
  <si>
    <t>VE141403</t>
  </si>
  <si>
    <t>San Rafael De Alcázar</t>
  </si>
  <si>
    <t>VE1415</t>
  </si>
  <si>
    <t>Padre Noguera</t>
  </si>
  <si>
    <t>VE141501</t>
  </si>
  <si>
    <t>VE1416</t>
  </si>
  <si>
    <t>Pueblo Llano</t>
  </si>
  <si>
    <t>VE141601</t>
  </si>
  <si>
    <t>VE1417</t>
  </si>
  <si>
    <t>Rangel</t>
  </si>
  <si>
    <t>VE141701</t>
  </si>
  <si>
    <t>Capital Rangel</t>
  </si>
  <si>
    <t>VE141702</t>
  </si>
  <si>
    <t>Cacute</t>
  </si>
  <si>
    <t>VE141703</t>
  </si>
  <si>
    <t>La Toma</t>
  </si>
  <si>
    <t>VE141704</t>
  </si>
  <si>
    <t>Mucuruba</t>
  </si>
  <si>
    <t>VE141705</t>
  </si>
  <si>
    <t>VE1418</t>
  </si>
  <si>
    <t>Rivas Dávila</t>
  </si>
  <si>
    <t>VE141801</t>
  </si>
  <si>
    <t>Capital Rivas Dávila</t>
  </si>
  <si>
    <t>VE141802</t>
  </si>
  <si>
    <t>Gerónimo Maldonado</t>
  </si>
  <si>
    <t>VE1419</t>
  </si>
  <si>
    <t>Santos Marquina</t>
  </si>
  <si>
    <t>VE141901</t>
  </si>
  <si>
    <t>VE1420</t>
  </si>
  <si>
    <t>VE142001</t>
  </si>
  <si>
    <t>Capital Sucre</t>
  </si>
  <si>
    <t>VE142002</t>
  </si>
  <si>
    <t>Chiguara</t>
  </si>
  <si>
    <t>VE142003</t>
  </si>
  <si>
    <t>Estanquez</t>
  </si>
  <si>
    <t>VE142004</t>
  </si>
  <si>
    <t>La Trampa</t>
  </si>
  <si>
    <t>VE142005</t>
  </si>
  <si>
    <t>Pueblo Nuevo Del Sur</t>
  </si>
  <si>
    <t>VE142006</t>
  </si>
  <si>
    <t>VE1421</t>
  </si>
  <si>
    <t>VE142101</t>
  </si>
  <si>
    <t>VE142102</t>
  </si>
  <si>
    <t>VE142103</t>
  </si>
  <si>
    <t>VE142104</t>
  </si>
  <si>
    <t>VE1422</t>
  </si>
  <si>
    <t>Tulio Febres Cordero</t>
  </si>
  <si>
    <t>VE142201</t>
  </si>
  <si>
    <t>Capital Tulio Febres Cordero</t>
  </si>
  <si>
    <t>VE142202</t>
  </si>
  <si>
    <t>VE142203</t>
  </si>
  <si>
    <t>María De La Concepción Palacios Blanco</t>
  </si>
  <si>
    <t>VE142204</t>
  </si>
  <si>
    <t>Santa Apolonia</t>
  </si>
  <si>
    <t>VE1423</t>
  </si>
  <si>
    <t>VE142301</t>
  </si>
  <si>
    <t>Capital Zea</t>
  </si>
  <si>
    <t>VE142302</t>
  </si>
  <si>
    <t>Caño El Tigre</t>
  </si>
  <si>
    <t>VE1501</t>
  </si>
  <si>
    <t>Acevedo</t>
  </si>
  <si>
    <t>VE150101</t>
  </si>
  <si>
    <t>Caucagua</t>
  </si>
  <si>
    <t>VE150102</t>
  </si>
  <si>
    <t>Araguita</t>
  </si>
  <si>
    <t>VE150103</t>
  </si>
  <si>
    <t>Arévalo González</t>
  </si>
  <si>
    <t>VE150104</t>
  </si>
  <si>
    <t>Capaya</t>
  </si>
  <si>
    <t>VE150105</t>
  </si>
  <si>
    <t>El Café</t>
  </si>
  <si>
    <t>VE150106</t>
  </si>
  <si>
    <t>Marizapa</t>
  </si>
  <si>
    <t>VE150107</t>
  </si>
  <si>
    <t>Panaquire</t>
  </si>
  <si>
    <t>VE150108</t>
  </si>
  <si>
    <t>Ribas</t>
  </si>
  <si>
    <t>VE1502</t>
  </si>
  <si>
    <t>VE150201</t>
  </si>
  <si>
    <t>San José De Barlovento</t>
  </si>
  <si>
    <t>VE150202</t>
  </si>
  <si>
    <t>Cumbo</t>
  </si>
  <si>
    <t>VE1503</t>
  </si>
  <si>
    <t>Baruta</t>
  </si>
  <si>
    <t>VE150301</t>
  </si>
  <si>
    <t>Nuestra Señora Del Rosario De Baruta</t>
  </si>
  <si>
    <t>VE150302</t>
  </si>
  <si>
    <t>El Cafetal</t>
  </si>
  <si>
    <t>VE150303</t>
  </si>
  <si>
    <t>Las Minas De Baruta</t>
  </si>
  <si>
    <t>VE1504</t>
  </si>
  <si>
    <t>Brión</t>
  </si>
  <si>
    <t>VE150401</t>
  </si>
  <si>
    <t>Higuerote</t>
  </si>
  <si>
    <t>VE150402</t>
  </si>
  <si>
    <t>Curiepe</t>
  </si>
  <si>
    <t>VE150403</t>
  </si>
  <si>
    <t>Tacarigua</t>
  </si>
  <si>
    <t>VE1505</t>
  </si>
  <si>
    <t>Buroz</t>
  </si>
  <si>
    <t>VE150501</t>
  </si>
  <si>
    <t>Mamporal</t>
  </si>
  <si>
    <t>VE1506</t>
  </si>
  <si>
    <t>Carrizal</t>
  </si>
  <si>
    <t>VE150601</t>
  </si>
  <si>
    <t>VE1507</t>
  </si>
  <si>
    <t>Chacao</t>
  </si>
  <si>
    <t>VE150701</t>
  </si>
  <si>
    <t>VE1508</t>
  </si>
  <si>
    <t>Cristóbal Rojas</t>
  </si>
  <si>
    <t>VE150801</t>
  </si>
  <si>
    <t>Charallave</t>
  </si>
  <si>
    <t>VE150802</t>
  </si>
  <si>
    <t>Las Brisas</t>
  </si>
  <si>
    <t>VE1509</t>
  </si>
  <si>
    <t>El Hatillo</t>
  </si>
  <si>
    <t>VE150901</t>
  </si>
  <si>
    <t>VE1510</t>
  </si>
  <si>
    <t>Bolivariano Guaicaipuro</t>
  </si>
  <si>
    <t>VE151001</t>
  </si>
  <si>
    <t>Los Teques</t>
  </si>
  <si>
    <t>VE151002</t>
  </si>
  <si>
    <t>Altagracia De La Montaña</t>
  </si>
  <si>
    <t>VE151003</t>
  </si>
  <si>
    <t>Cecilio Acosta</t>
  </si>
  <si>
    <t>VE151004</t>
  </si>
  <si>
    <t>El Jarillo</t>
  </si>
  <si>
    <t>VE151005</t>
  </si>
  <si>
    <t>Paracotos</t>
  </si>
  <si>
    <t>VE151006</t>
  </si>
  <si>
    <t>VE151007</t>
  </si>
  <si>
    <t>Tacata</t>
  </si>
  <si>
    <t>VE1511</t>
  </si>
  <si>
    <t>VE151101</t>
  </si>
  <si>
    <t>Santa Teresa Del Tuy</t>
  </si>
  <si>
    <t>VE151102</t>
  </si>
  <si>
    <t>El Cartanal</t>
  </si>
  <si>
    <t>VE1512</t>
  </si>
  <si>
    <t>Lander</t>
  </si>
  <si>
    <t>VE151201</t>
  </si>
  <si>
    <t>Ocumare Del Tuy</t>
  </si>
  <si>
    <t>VE151202</t>
  </si>
  <si>
    <t>La Democracia</t>
  </si>
  <si>
    <t>VE151203</t>
  </si>
  <si>
    <t>VE1513</t>
  </si>
  <si>
    <t>Los Salias</t>
  </si>
  <si>
    <t>VE151301</t>
  </si>
  <si>
    <t>San Antonio De Los Altos</t>
  </si>
  <si>
    <t>VE1514</t>
  </si>
  <si>
    <t>VE151401</t>
  </si>
  <si>
    <t>Rio Chico</t>
  </si>
  <si>
    <t>VE151402</t>
  </si>
  <si>
    <t>El Guapo</t>
  </si>
  <si>
    <t>VE151403</t>
  </si>
  <si>
    <t>Tacarigua De La Laguna</t>
  </si>
  <si>
    <t>VE151404</t>
  </si>
  <si>
    <t>Páparo</t>
  </si>
  <si>
    <t>VE151405</t>
  </si>
  <si>
    <t>San Fernando Del Guapo</t>
  </si>
  <si>
    <t>VE1515</t>
  </si>
  <si>
    <t>Paz Castillo</t>
  </si>
  <si>
    <t>VE151501</t>
  </si>
  <si>
    <t>VE1516</t>
  </si>
  <si>
    <t>Pedro Gual</t>
  </si>
  <si>
    <t>VE151601</t>
  </si>
  <si>
    <t>Cupira</t>
  </si>
  <si>
    <t>VE151602</t>
  </si>
  <si>
    <t>Machurucuto</t>
  </si>
  <si>
    <t>VE1517</t>
  </si>
  <si>
    <t>Plaza</t>
  </si>
  <si>
    <t>VE151701</t>
  </si>
  <si>
    <t>Guarenas</t>
  </si>
  <si>
    <t>VE1518</t>
  </si>
  <si>
    <t>VE151801</t>
  </si>
  <si>
    <t>San Francisco De Yare</t>
  </si>
  <si>
    <t>VE151802</t>
  </si>
  <si>
    <t>San Antonio De Yare</t>
  </si>
  <si>
    <t>VE1519</t>
  </si>
  <si>
    <t>VE151901</t>
  </si>
  <si>
    <t>Petare</t>
  </si>
  <si>
    <t>VE151902</t>
  </si>
  <si>
    <t>Caucaguita</t>
  </si>
  <si>
    <t>VE151903</t>
  </si>
  <si>
    <t>Filas De Mariches</t>
  </si>
  <si>
    <t>VE151904</t>
  </si>
  <si>
    <t>La Dolorita</t>
  </si>
  <si>
    <t>VE151905</t>
  </si>
  <si>
    <t>Leoncio Martínez</t>
  </si>
  <si>
    <t>VE1520</t>
  </si>
  <si>
    <t>VE152001</t>
  </si>
  <si>
    <t>Cua</t>
  </si>
  <si>
    <t>VE152002</t>
  </si>
  <si>
    <t>Nueva Cua</t>
  </si>
  <si>
    <t>VE1521</t>
  </si>
  <si>
    <t>VE152101</t>
  </si>
  <si>
    <t>Guatire</t>
  </si>
  <si>
    <t>VE152102</t>
  </si>
  <si>
    <t>VE1601</t>
  </si>
  <si>
    <t>VE160101</t>
  </si>
  <si>
    <t>Capital Acosta</t>
  </si>
  <si>
    <t>VE160102</t>
  </si>
  <si>
    <t>VE1602</t>
  </si>
  <si>
    <t>VE160201</t>
  </si>
  <si>
    <t>VE1603</t>
  </si>
  <si>
    <t>VE160301</t>
  </si>
  <si>
    <t>VE1604</t>
  </si>
  <si>
    <t>VE160401</t>
  </si>
  <si>
    <t>Capital Caripe</t>
  </si>
  <si>
    <t>VE160402</t>
  </si>
  <si>
    <t>El Guácharo</t>
  </si>
  <si>
    <t>VE160403</t>
  </si>
  <si>
    <t>La Guanota</t>
  </si>
  <si>
    <t>VE160404</t>
  </si>
  <si>
    <t>Sabana De Piedra</t>
  </si>
  <si>
    <t>VE160405</t>
  </si>
  <si>
    <t>VE160406</t>
  </si>
  <si>
    <t>Teresen</t>
  </si>
  <si>
    <t>VE1605</t>
  </si>
  <si>
    <t>VE160501</t>
  </si>
  <si>
    <t>Capital Cedeño</t>
  </si>
  <si>
    <t>VE160502</t>
  </si>
  <si>
    <t>Areo</t>
  </si>
  <si>
    <t>VE160503</t>
  </si>
  <si>
    <t>VE160504</t>
  </si>
  <si>
    <t>Viento Fresco</t>
  </si>
  <si>
    <t>VE1606</t>
  </si>
  <si>
    <t>VE160601</t>
  </si>
  <si>
    <t>Capital Ezequiel Zamora</t>
  </si>
  <si>
    <t>VE160602</t>
  </si>
  <si>
    <t>El Tejero</t>
  </si>
  <si>
    <t>VE1607</t>
  </si>
  <si>
    <t>VE160701</t>
  </si>
  <si>
    <t>Capital Libertador</t>
  </si>
  <si>
    <t>VE160702</t>
  </si>
  <si>
    <t>VE160703</t>
  </si>
  <si>
    <t>Las Alhuacas</t>
  </si>
  <si>
    <t>VE160704</t>
  </si>
  <si>
    <t>Tabasca</t>
  </si>
  <si>
    <t>VE1608</t>
  </si>
  <si>
    <t>VE160801</t>
  </si>
  <si>
    <t>Capital Maturín</t>
  </si>
  <si>
    <t>VE160802</t>
  </si>
  <si>
    <t>Alto De Los Godos</t>
  </si>
  <si>
    <t>VE160803</t>
  </si>
  <si>
    <t>Boquerón</t>
  </si>
  <si>
    <t>VE160804</t>
  </si>
  <si>
    <t>Las Cocuizas</t>
  </si>
  <si>
    <t>VE160805</t>
  </si>
  <si>
    <t>San Simón</t>
  </si>
  <si>
    <t>VE160806</t>
  </si>
  <si>
    <t>Santa Cruz</t>
  </si>
  <si>
    <t>VE160807</t>
  </si>
  <si>
    <t>El Corozo</t>
  </si>
  <si>
    <t>VE160808</t>
  </si>
  <si>
    <t>El Furrial</t>
  </si>
  <si>
    <t>VE160809</t>
  </si>
  <si>
    <t>Jusepín</t>
  </si>
  <si>
    <t>VE160810</t>
  </si>
  <si>
    <t>La Pica</t>
  </si>
  <si>
    <t>VE160811</t>
  </si>
  <si>
    <t>VE1609</t>
  </si>
  <si>
    <t>VE160901</t>
  </si>
  <si>
    <t>Capital Piar</t>
  </si>
  <si>
    <t>VE160902</t>
  </si>
  <si>
    <t>Aparicio</t>
  </si>
  <si>
    <t>VE160903</t>
  </si>
  <si>
    <t>Chaguaramal</t>
  </si>
  <si>
    <t>VE160904</t>
  </si>
  <si>
    <t>El Pinto</t>
  </si>
  <si>
    <t>VE160905</t>
  </si>
  <si>
    <t>Guanaguana</t>
  </si>
  <si>
    <t>VE160906</t>
  </si>
  <si>
    <t>La Toscana</t>
  </si>
  <si>
    <t>VE160907</t>
  </si>
  <si>
    <t>Taguaya</t>
  </si>
  <si>
    <t>VE1610</t>
  </si>
  <si>
    <t>VE161001</t>
  </si>
  <si>
    <t>Capital Punceres</t>
  </si>
  <si>
    <t>VE161002</t>
  </si>
  <si>
    <t>VE1611</t>
  </si>
  <si>
    <t>VE161101</t>
  </si>
  <si>
    <t>VE1612</t>
  </si>
  <si>
    <t>VE161201</t>
  </si>
  <si>
    <t>Capital Sotillo</t>
  </si>
  <si>
    <t>VE161202</t>
  </si>
  <si>
    <t>Los Barrancos De Fajardo</t>
  </si>
  <si>
    <t>VE1613</t>
  </si>
  <si>
    <t>VE161301</t>
  </si>
  <si>
    <t>VE1701</t>
  </si>
  <si>
    <t>VE170101</t>
  </si>
  <si>
    <t>Capital Antolín Del Campo</t>
  </si>
  <si>
    <t>VE1702</t>
  </si>
  <si>
    <t>VE170201</t>
  </si>
  <si>
    <t>Capital Arismendi</t>
  </si>
  <si>
    <t>VE1703</t>
  </si>
  <si>
    <t>VE170301</t>
  </si>
  <si>
    <t>Capital Díaz</t>
  </si>
  <si>
    <t>VE170302</t>
  </si>
  <si>
    <t>Zabala</t>
  </si>
  <si>
    <t>VE1704</t>
  </si>
  <si>
    <t>VE170401</t>
  </si>
  <si>
    <t>Capital García</t>
  </si>
  <si>
    <t>VE170402</t>
  </si>
  <si>
    <t>Francisco Fajardo</t>
  </si>
  <si>
    <t>VE1705</t>
  </si>
  <si>
    <t>VE170501</t>
  </si>
  <si>
    <t>Capital Gómez</t>
  </si>
  <si>
    <t>VE170502</t>
  </si>
  <si>
    <t>VE170503</t>
  </si>
  <si>
    <t>Guevara</t>
  </si>
  <si>
    <t>VE170504</t>
  </si>
  <si>
    <t>Matasiete</t>
  </si>
  <si>
    <t>VE170505</t>
  </si>
  <si>
    <t>VE1706</t>
  </si>
  <si>
    <t>VE170601</t>
  </si>
  <si>
    <t>Capital Maneiro</t>
  </si>
  <si>
    <t>VE170602</t>
  </si>
  <si>
    <t>Aguirre</t>
  </si>
  <si>
    <t>VE1707</t>
  </si>
  <si>
    <t>VE170701</t>
  </si>
  <si>
    <t>Capital Marcano</t>
  </si>
  <si>
    <t>VE170702</t>
  </si>
  <si>
    <t>Adrian</t>
  </si>
  <si>
    <t>VE1708</t>
  </si>
  <si>
    <t>VE170801</t>
  </si>
  <si>
    <t>Capital Mariño</t>
  </si>
  <si>
    <t>VE1709</t>
  </si>
  <si>
    <t>VE170901</t>
  </si>
  <si>
    <t>Capital Península De Macanao</t>
  </si>
  <si>
    <t>VE170902</t>
  </si>
  <si>
    <t>VE1710</t>
  </si>
  <si>
    <t>VE171001</t>
  </si>
  <si>
    <t>Capital Tubores</t>
  </si>
  <si>
    <t>VE171002</t>
  </si>
  <si>
    <t>Los Barales</t>
  </si>
  <si>
    <t>VE1711</t>
  </si>
  <si>
    <t>VE171101</t>
  </si>
  <si>
    <t>Capital Villalba</t>
  </si>
  <si>
    <t>VE171102</t>
  </si>
  <si>
    <t>Vicente Fuentes</t>
  </si>
  <si>
    <t>VE1801</t>
  </si>
  <si>
    <t>VE180101</t>
  </si>
  <si>
    <t>Capital Agua Blanca</t>
  </si>
  <si>
    <t>VE1802</t>
  </si>
  <si>
    <t>VE180201</t>
  </si>
  <si>
    <t>Capital Araure</t>
  </si>
  <si>
    <t>VE180202</t>
  </si>
  <si>
    <t>Rio Acarigua</t>
  </si>
  <si>
    <t>VE1803</t>
  </si>
  <si>
    <t>VE180301</t>
  </si>
  <si>
    <t>Capital Esteller</t>
  </si>
  <si>
    <t>VE180302</t>
  </si>
  <si>
    <t>Uveral</t>
  </si>
  <si>
    <t>VE1804</t>
  </si>
  <si>
    <t>VE180401</t>
  </si>
  <si>
    <t>Capital Guanare</t>
  </si>
  <si>
    <t>VE180402</t>
  </si>
  <si>
    <t>Córdoba</t>
  </si>
  <si>
    <t>VE180403</t>
  </si>
  <si>
    <t>San José De La Montaña</t>
  </si>
  <si>
    <t>VE180404</t>
  </si>
  <si>
    <t>San Juan De Guanaguanare</t>
  </si>
  <si>
    <t>VE180405</t>
  </si>
  <si>
    <t>Virgen De La Coromoto</t>
  </si>
  <si>
    <t>VE1805</t>
  </si>
  <si>
    <t>VE180501</t>
  </si>
  <si>
    <t>Capital Guanarito</t>
  </si>
  <si>
    <t>VE180502</t>
  </si>
  <si>
    <t>Trinidad De La Capilla</t>
  </si>
  <si>
    <t>VE180503</t>
  </si>
  <si>
    <t>Divina Pastora</t>
  </si>
  <si>
    <t>VE1806</t>
  </si>
  <si>
    <t>VE180601</t>
  </si>
  <si>
    <t>Capital Monseñor José Vicente De Unda</t>
  </si>
  <si>
    <t>VE180602</t>
  </si>
  <si>
    <t>Peña Blanca</t>
  </si>
  <si>
    <t>VE1807</t>
  </si>
  <si>
    <t>VE180701</t>
  </si>
  <si>
    <t>Capital Ospino</t>
  </si>
  <si>
    <t>VE180702</t>
  </si>
  <si>
    <t>Aparición</t>
  </si>
  <si>
    <t>VE180703</t>
  </si>
  <si>
    <t>La Estación</t>
  </si>
  <si>
    <t>VE1808</t>
  </si>
  <si>
    <t>VE180801</t>
  </si>
  <si>
    <t>Capital Páez</t>
  </si>
  <si>
    <t>VE180802</t>
  </si>
  <si>
    <t>Payara</t>
  </si>
  <si>
    <t>VE180803</t>
  </si>
  <si>
    <t>Pimpinela</t>
  </si>
  <si>
    <t>VE180804</t>
  </si>
  <si>
    <t>Ramón Peraza</t>
  </si>
  <si>
    <t>VE1809</t>
  </si>
  <si>
    <t>VE180901</t>
  </si>
  <si>
    <t>Capital Papelón</t>
  </si>
  <si>
    <t>VE180902</t>
  </si>
  <si>
    <t>Caño Delgadito</t>
  </si>
  <si>
    <t>VE1810</t>
  </si>
  <si>
    <t>VE181001</t>
  </si>
  <si>
    <t>Capital San Genaro De Boconoito</t>
  </si>
  <si>
    <t>VE181002</t>
  </si>
  <si>
    <t>Antolín Tovar Aquino</t>
  </si>
  <si>
    <t>VE1811</t>
  </si>
  <si>
    <t>VE181101</t>
  </si>
  <si>
    <t>Capital San Rafael De Onoto</t>
  </si>
  <si>
    <t>VE181102</t>
  </si>
  <si>
    <t>Santa Fe</t>
  </si>
  <si>
    <t>VE181103</t>
  </si>
  <si>
    <t>Thermo Morles</t>
  </si>
  <si>
    <t>VE1812</t>
  </si>
  <si>
    <t>VE181201</t>
  </si>
  <si>
    <t>Capital Santa Rosalía</t>
  </si>
  <si>
    <t>VE181202</t>
  </si>
  <si>
    <t>Florida</t>
  </si>
  <si>
    <t>VE1813</t>
  </si>
  <si>
    <t>VE181301</t>
  </si>
  <si>
    <t>VE181302</t>
  </si>
  <si>
    <t>VE181303</t>
  </si>
  <si>
    <t>San Rafael De Palo Alzado</t>
  </si>
  <si>
    <t>VE181304</t>
  </si>
  <si>
    <t>Uvencio Antonio Velásquez</t>
  </si>
  <si>
    <t>VE181305</t>
  </si>
  <si>
    <t>San José De Saguaz</t>
  </si>
  <si>
    <t>VE181306</t>
  </si>
  <si>
    <t>Villa Rosa</t>
  </si>
  <si>
    <t>VE1814</t>
  </si>
  <si>
    <t>VE181401</t>
  </si>
  <si>
    <t>Capital Turén</t>
  </si>
  <si>
    <t>VE181402</t>
  </si>
  <si>
    <t>Canelones</t>
  </si>
  <si>
    <t>VE181403</t>
  </si>
  <si>
    <t>VE181404</t>
  </si>
  <si>
    <t>San Isidro Labrador</t>
  </si>
  <si>
    <t>VE1901</t>
  </si>
  <si>
    <t>VE190101</t>
  </si>
  <si>
    <t>VE190102</t>
  </si>
  <si>
    <t>VE1902</t>
  </si>
  <si>
    <t>VE190201</t>
  </si>
  <si>
    <t>San José De Aerocuar</t>
  </si>
  <si>
    <t>VE190202</t>
  </si>
  <si>
    <t>Tavera Acosta</t>
  </si>
  <si>
    <t>VE1903</t>
  </si>
  <si>
    <t>VE190301</t>
  </si>
  <si>
    <t>Rio Caribe</t>
  </si>
  <si>
    <t>VE190302</t>
  </si>
  <si>
    <t>VE190303</t>
  </si>
  <si>
    <t>El Morro De Puerto Santo</t>
  </si>
  <si>
    <t>VE190304</t>
  </si>
  <si>
    <t>Puerto Santo</t>
  </si>
  <si>
    <t>VE190305</t>
  </si>
  <si>
    <t>San Juan De Las Galdonas</t>
  </si>
  <si>
    <t>VE1904</t>
  </si>
  <si>
    <t>VE190401</t>
  </si>
  <si>
    <t>VE190402</t>
  </si>
  <si>
    <t>El Rincón</t>
  </si>
  <si>
    <t>VE190403</t>
  </si>
  <si>
    <t>General  Francisco Antonio Vásquez</t>
  </si>
  <si>
    <t>VE190404</t>
  </si>
  <si>
    <t>Guaraunos</t>
  </si>
  <si>
    <t>VE190405</t>
  </si>
  <si>
    <t>Tunapuicito</t>
  </si>
  <si>
    <t>VE190406</t>
  </si>
  <si>
    <t>VE1905</t>
  </si>
  <si>
    <t>VE190501</t>
  </si>
  <si>
    <t>VE190502</t>
  </si>
  <si>
    <t>Macarapana</t>
  </si>
  <si>
    <t>VE190503</t>
  </si>
  <si>
    <t>VE190504</t>
  </si>
  <si>
    <t>VE190505</t>
  </si>
  <si>
    <t>VE1906</t>
  </si>
  <si>
    <t>VE190601</t>
  </si>
  <si>
    <t>VE1907</t>
  </si>
  <si>
    <t>VE190701</t>
  </si>
  <si>
    <t>Yaguaraparo</t>
  </si>
  <si>
    <t>VE190702</t>
  </si>
  <si>
    <t>El Paujil</t>
  </si>
  <si>
    <t>VE190703</t>
  </si>
  <si>
    <t>VE1908</t>
  </si>
  <si>
    <t>VE190801</t>
  </si>
  <si>
    <t>Araya</t>
  </si>
  <si>
    <t>VE190802</t>
  </si>
  <si>
    <t>Chacopata</t>
  </si>
  <si>
    <t>VE190803</t>
  </si>
  <si>
    <t>Manicuare</t>
  </si>
  <si>
    <t>VE1909</t>
  </si>
  <si>
    <t>VE190901</t>
  </si>
  <si>
    <t>Tunapuy</t>
  </si>
  <si>
    <t>VE190902</t>
  </si>
  <si>
    <t>VE1910</t>
  </si>
  <si>
    <t>VE191001</t>
  </si>
  <si>
    <t>Irapa</t>
  </si>
  <si>
    <t>VE191002</t>
  </si>
  <si>
    <t>Campo Claro</t>
  </si>
  <si>
    <t>VE191003</t>
  </si>
  <si>
    <t>Marabal</t>
  </si>
  <si>
    <t>VE191004</t>
  </si>
  <si>
    <t>San Antonio De Irapa</t>
  </si>
  <si>
    <t>VE191005</t>
  </si>
  <si>
    <t>Soro</t>
  </si>
  <si>
    <t>VE1911</t>
  </si>
  <si>
    <t>Mejía</t>
  </si>
  <si>
    <t>VE191101</t>
  </si>
  <si>
    <t>Capital Mejía</t>
  </si>
  <si>
    <t>VE1912</t>
  </si>
  <si>
    <t>VE191201</t>
  </si>
  <si>
    <t>Cumanacoa</t>
  </si>
  <si>
    <t>VE191202</t>
  </si>
  <si>
    <t>Arenas</t>
  </si>
  <si>
    <t>VE191203</t>
  </si>
  <si>
    <t>VE191204</t>
  </si>
  <si>
    <t>Cocollar</t>
  </si>
  <si>
    <t>VE191205</t>
  </si>
  <si>
    <t>VE191206</t>
  </si>
  <si>
    <t>San Lorenzo</t>
  </si>
  <si>
    <t>VE1913</t>
  </si>
  <si>
    <t>VE191301</t>
  </si>
  <si>
    <t>Cariaco</t>
  </si>
  <si>
    <t>VE191302</t>
  </si>
  <si>
    <t>Catuaro</t>
  </si>
  <si>
    <t>VE191303</t>
  </si>
  <si>
    <t>Rendón</t>
  </si>
  <si>
    <t>VE191304</t>
  </si>
  <si>
    <t>VE191305</t>
  </si>
  <si>
    <t>Santa María</t>
  </si>
  <si>
    <t>VE1914</t>
  </si>
  <si>
    <t>VE191401</t>
  </si>
  <si>
    <t>VE191402</t>
  </si>
  <si>
    <t>Ayacucho</t>
  </si>
  <si>
    <t>VE191403</t>
  </si>
  <si>
    <t>VE191404</t>
  </si>
  <si>
    <t>Valentín Valiente</t>
  </si>
  <si>
    <t>VE191405</t>
  </si>
  <si>
    <t>VE191406</t>
  </si>
  <si>
    <t>Raúl Leoni Los Puertos De Santa Fé</t>
  </si>
  <si>
    <t>VE191407</t>
  </si>
  <si>
    <t>Gran Mariscal Los Altos De Sucre</t>
  </si>
  <si>
    <t>VE1915</t>
  </si>
  <si>
    <t>VE191501</t>
  </si>
  <si>
    <t>Guiria</t>
  </si>
  <si>
    <t>VE191502</t>
  </si>
  <si>
    <t>Bideau</t>
  </si>
  <si>
    <t>VE191503</t>
  </si>
  <si>
    <t>Cristóbal Colon</t>
  </si>
  <si>
    <t>VE191504</t>
  </si>
  <si>
    <t>Punta De Piedras</t>
  </si>
  <si>
    <t>VE2001</t>
  </si>
  <si>
    <t>VE200101</t>
  </si>
  <si>
    <t>Capital Andrés Bello</t>
  </si>
  <si>
    <t>VE2002</t>
  </si>
  <si>
    <t>Antonio Rómulo Costa</t>
  </si>
  <si>
    <t>VE200201</t>
  </si>
  <si>
    <t>Antonio Rómulo Acosta</t>
  </si>
  <si>
    <t>VE2003</t>
  </si>
  <si>
    <t>VE200301</t>
  </si>
  <si>
    <t>VE200302</t>
  </si>
  <si>
    <t>Rivas Berti</t>
  </si>
  <si>
    <t>VE200303</t>
  </si>
  <si>
    <t>San Pedro Del Rio</t>
  </si>
  <si>
    <t>VE2004</t>
  </si>
  <si>
    <t>VE200401</t>
  </si>
  <si>
    <t>VE200402</t>
  </si>
  <si>
    <t>Palotal</t>
  </si>
  <si>
    <t>VE200403</t>
  </si>
  <si>
    <t>Juan Vicente Gómez</t>
  </si>
  <si>
    <t>VE200404</t>
  </si>
  <si>
    <t>Isaías Medina Angarita</t>
  </si>
  <si>
    <t>VE2005</t>
  </si>
  <si>
    <t>Cárdenas</t>
  </si>
  <si>
    <t>VE200501</t>
  </si>
  <si>
    <t>VE200502</t>
  </si>
  <si>
    <t>Amenodoro Rangel Lamus</t>
  </si>
  <si>
    <t>VE200503</t>
  </si>
  <si>
    <t>La Florida</t>
  </si>
  <si>
    <t>VE2006</t>
  </si>
  <si>
    <t>VE200601</t>
  </si>
  <si>
    <t>Capital Córdoba</t>
  </si>
  <si>
    <t>VE2007</t>
  </si>
  <si>
    <t>Fernández Feo</t>
  </si>
  <si>
    <t>VE200701</t>
  </si>
  <si>
    <t>VE200702</t>
  </si>
  <si>
    <t>VE200703</t>
  </si>
  <si>
    <t>Santo Domingo</t>
  </si>
  <si>
    <t>VE2008</t>
  </si>
  <si>
    <t>VE200801</t>
  </si>
  <si>
    <t>San José De Bolívar</t>
  </si>
  <si>
    <t>VE2009</t>
  </si>
  <si>
    <t>García De Hevia</t>
  </si>
  <si>
    <t>VE200901</t>
  </si>
  <si>
    <t>VE200902</t>
  </si>
  <si>
    <t>Boca De Grita</t>
  </si>
  <si>
    <t>VE200903</t>
  </si>
  <si>
    <t>VE2010</t>
  </si>
  <si>
    <t>Guásimos</t>
  </si>
  <si>
    <t>VE201001</t>
  </si>
  <si>
    <t>Capital Guasimos</t>
  </si>
  <si>
    <t>VE2011</t>
  </si>
  <si>
    <t>VE201101</t>
  </si>
  <si>
    <t>VE201102</t>
  </si>
  <si>
    <t>VE201103</t>
  </si>
  <si>
    <t>Román Cárdenas</t>
  </si>
  <si>
    <t>VE2012</t>
  </si>
  <si>
    <t>Jáuregui</t>
  </si>
  <si>
    <t>VE201201</t>
  </si>
  <si>
    <t>VE201202</t>
  </si>
  <si>
    <t>Emilio Constantino Guerrero</t>
  </si>
  <si>
    <t>VE201203</t>
  </si>
  <si>
    <t>Monseñor Miguel Antonio Salas</t>
  </si>
  <si>
    <t>VE2013</t>
  </si>
  <si>
    <t>José María Vargas</t>
  </si>
  <si>
    <t>VE201301</t>
  </si>
  <si>
    <t>VE2014</t>
  </si>
  <si>
    <t>Junín</t>
  </si>
  <si>
    <t>VE201401</t>
  </si>
  <si>
    <t>VE201402</t>
  </si>
  <si>
    <t>La Petrolea</t>
  </si>
  <si>
    <t>VE201403</t>
  </si>
  <si>
    <t>Quinimari</t>
  </si>
  <si>
    <t>VE201404</t>
  </si>
  <si>
    <t>Bramon</t>
  </si>
  <si>
    <t>VE2015</t>
  </si>
  <si>
    <t>VE201501</t>
  </si>
  <si>
    <t>VE201502</t>
  </si>
  <si>
    <t>Cipriano Castro</t>
  </si>
  <si>
    <t>VE201503</t>
  </si>
  <si>
    <t>Manuel Felipe Rugeles</t>
  </si>
  <si>
    <t>VE2016</t>
  </si>
  <si>
    <t>VE201601</t>
  </si>
  <si>
    <t>VE201602</t>
  </si>
  <si>
    <t>Emeterio Ochoa</t>
  </si>
  <si>
    <t>VE201603</t>
  </si>
  <si>
    <t>Doradas</t>
  </si>
  <si>
    <t>VE201604</t>
  </si>
  <si>
    <t>San Joaquín De Navay</t>
  </si>
  <si>
    <t>VE2017</t>
  </si>
  <si>
    <t>Lobatera</t>
  </si>
  <si>
    <t>VE201701</t>
  </si>
  <si>
    <t>VE201702</t>
  </si>
  <si>
    <t>Constitución</t>
  </si>
  <si>
    <t>VE2018</t>
  </si>
  <si>
    <t>Michelena</t>
  </si>
  <si>
    <t>VE201801</t>
  </si>
  <si>
    <t>Capital Michelena</t>
  </si>
  <si>
    <t>VE2019</t>
  </si>
  <si>
    <t>Panamericano</t>
  </si>
  <si>
    <t>VE201901</t>
  </si>
  <si>
    <t>VE201902</t>
  </si>
  <si>
    <t>La Palmita</t>
  </si>
  <si>
    <t>VE2020</t>
  </si>
  <si>
    <t>Pedro María Ureña</t>
  </si>
  <si>
    <t>VE202001</t>
  </si>
  <si>
    <t>VE202002</t>
  </si>
  <si>
    <t>Nueva Arcadia</t>
  </si>
  <si>
    <t>VE2021</t>
  </si>
  <si>
    <t>Rafael Urdaneta</t>
  </si>
  <si>
    <t>VE202101</t>
  </si>
  <si>
    <t>Delicias</t>
  </si>
  <si>
    <t>VE2022</t>
  </si>
  <si>
    <t>Samuel Darío Maldonado</t>
  </si>
  <si>
    <t>VE202201</t>
  </si>
  <si>
    <t>VE202202</t>
  </si>
  <si>
    <t>VE202203</t>
  </si>
  <si>
    <t>Hernández</t>
  </si>
  <si>
    <t>VE2023</t>
  </si>
  <si>
    <t>VE202301</t>
  </si>
  <si>
    <t>La Concordia</t>
  </si>
  <si>
    <t>VE202302</t>
  </si>
  <si>
    <t>Pedro María Morantes</t>
  </si>
  <si>
    <t>VE202303</t>
  </si>
  <si>
    <t>San Juan Bautista</t>
  </si>
  <si>
    <t>VE202304</t>
  </si>
  <si>
    <t>VE202305</t>
  </si>
  <si>
    <t>Dr. Francisco Romero Lobo</t>
  </si>
  <si>
    <t>VE2024</t>
  </si>
  <si>
    <t>Seboruco</t>
  </si>
  <si>
    <t>VE202401</t>
  </si>
  <si>
    <t>Capital Seboruco</t>
  </si>
  <si>
    <t>VE2025</t>
  </si>
  <si>
    <t>VE202501</t>
  </si>
  <si>
    <t>VE2026</t>
  </si>
  <si>
    <t>VE202601</t>
  </si>
  <si>
    <t>VE202602</t>
  </si>
  <si>
    <t>Eleazar López Contreras</t>
  </si>
  <si>
    <t>VE202603</t>
  </si>
  <si>
    <t>VE2027</t>
  </si>
  <si>
    <t>Torbes</t>
  </si>
  <si>
    <t>VE202701</t>
  </si>
  <si>
    <t>VE2028</t>
  </si>
  <si>
    <t>Uribante</t>
  </si>
  <si>
    <t>VE202801</t>
  </si>
  <si>
    <t>VE202802</t>
  </si>
  <si>
    <t>VE202803</t>
  </si>
  <si>
    <t>Juan Pablo Peñaloza</t>
  </si>
  <si>
    <t>VE202804</t>
  </si>
  <si>
    <t>Potosí</t>
  </si>
  <si>
    <t>VE2029</t>
  </si>
  <si>
    <t>San Judas Tadeo</t>
  </si>
  <si>
    <t>VE202901</t>
  </si>
  <si>
    <t>VE2101</t>
  </si>
  <si>
    <t>VE210101</t>
  </si>
  <si>
    <t>Santa Isabel</t>
  </si>
  <si>
    <t>VE210102</t>
  </si>
  <si>
    <t>Araguaney</t>
  </si>
  <si>
    <t>VE210103</t>
  </si>
  <si>
    <t>El Jaguito</t>
  </si>
  <si>
    <t>VE210104</t>
  </si>
  <si>
    <t>La Esperanza</t>
  </si>
  <si>
    <t>VE2102</t>
  </si>
  <si>
    <t>VE210201</t>
  </si>
  <si>
    <t>Bocono</t>
  </si>
  <si>
    <t>VE210202</t>
  </si>
  <si>
    <t>VE210203</t>
  </si>
  <si>
    <t>Mosquey</t>
  </si>
  <si>
    <t>VE210204</t>
  </si>
  <si>
    <t>VE210205</t>
  </si>
  <si>
    <t>Burbusay</t>
  </si>
  <si>
    <t>VE210206</t>
  </si>
  <si>
    <t>General Rivas</t>
  </si>
  <si>
    <t>VE210207</t>
  </si>
  <si>
    <t>Guaramacal</t>
  </si>
  <si>
    <t>VE210208</t>
  </si>
  <si>
    <t>Vega De Guaramacal</t>
  </si>
  <si>
    <t>VE210209</t>
  </si>
  <si>
    <t>Monseñor Jáuregui</t>
  </si>
  <si>
    <t>VE210210</t>
  </si>
  <si>
    <t>VE210211</t>
  </si>
  <si>
    <t>VE210212</t>
  </si>
  <si>
    <t>VE2103</t>
  </si>
  <si>
    <t>VE210301</t>
  </si>
  <si>
    <t>Sabana Grande</t>
  </si>
  <si>
    <t>VE210302</t>
  </si>
  <si>
    <t>Cheregue</t>
  </si>
  <si>
    <t>VE210303</t>
  </si>
  <si>
    <t>Granados</t>
  </si>
  <si>
    <t>VE2104</t>
  </si>
  <si>
    <t>VE210401</t>
  </si>
  <si>
    <t>Chejende</t>
  </si>
  <si>
    <t>VE210402</t>
  </si>
  <si>
    <t>Arnoldo Gabaldon</t>
  </si>
  <si>
    <t>VE210403</t>
  </si>
  <si>
    <t>Bolivia</t>
  </si>
  <si>
    <t>VE210404</t>
  </si>
  <si>
    <t>Carrillo</t>
  </si>
  <si>
    <t>VE210405</t>
  </si>
  <si>
    <t>Cegarra</t>
  </si>
  <si>
    <t>VE210406</t>
  </si>
  <si>
    <t>Manuel Salvador Ulloa</t>
  </si>
  <si>
    <t>VE210407</t>
  </si>
  <si>
    <t>VE2105</t>
  </si>
  <si>
    <t>VE210501</t>
  </si>
  <si>
    <t>VE210502</t>
  </si>
  <si>
    <t>Cuicas</t>
  </si>
  <si>
    <t>VE210503</t>
  </si>
  <si>
    <t>La Concepción</t>
  </si>
  <si>
    <t>VE210504</t>
  </si>
  <si>
    <t>Panamericana</t>
  </si>
  <si>
    <t>VE210505</t>
  </si>
  <si>
    <t>VE2106</t>
  </si>
  <si>
    <t>VE210601</t>
  </si>
  <si>
    <t>VE210602</t>
  </si>
  <si>
    <t>VE210603</t>
  </si>
  <si>
    <t>Sabana Libre</t>
  </si>
  <si>
    <t>VE210604</t>
  </si>
  <si>
    <t>Santa Rita</t>
  </si>
  <si>
    <t>VE2107</t>
  </si>
  <si>
    <t>VE210701</t>
  </si>
  <si>
    <t>VE210702</t>
  </si>
  <si>
    <t>VE210703</t>
  </si>
  <si>
    <t>Los Caprichos</t>
  </si>
  <si>
    <t>VE2108</t>
  </si>
  <si>
    <t>VE210801</t>
  </si>
  <si>
    <t>VE210802</t>
  </si>
  <si>
    <t>VE2109</t>
  </si>
  <si>
    <t>VE210901</t>
  </si>
  <si>
    <t>VE210902</t>
  </si>
  <si>
    <t>El Progreso</t>
  </si>
  <si>
    <t>VE210903</t>
  </si>
  <si>
    <t>VE210904</t>
  </si>
  <si>
    <t>Tres De Febrero</t>
  </si>
  <si>
    <t>VE2110</t>
  </si>
  <si>
    <t>VE211001</t>
  </si>
  <si>
    <t>El Dividive</t>
  </si>
  <si>
    <t>VE211002</t>
  </si>
  <si>
    <t>Agua Santa</t>
  </si>
  <si>
    <t>VE211003</t>
  </si>
  <si>
    <t>Agua Caliente</t>
  </si>
  <si>
    <t>VE211004</t>
  </si>
  <si>
    <t>El Cenizo</t>
  </si>
  <si>
    <t>VE211005</t>
  </si>
  <si>
    <t>Valerita</t>
  </si>
  <si>
    <t>VE2111</t>
  </si>
  <si>
    <t>VE211101</t>
  </si>
  <si>
    <t>VE211102</t>
  </si>
  <si>
    <t>VE211103</t>
  </si>
  <si>
    <t>Santa María Del Horcon</t>
  </si>
  <si>
    <t>VE2112</t>
  </si>
  <si>
    <t>VE211201</t>
  </si>
  <si>
    <t>Motatan</t>
  </si>
  <si>
    <t>VE211202</t>
  </si>
  <si>
    <t>El Baño</t>
  </si>
  <si>
    <t>VE211203</t>
  </si>
  <si>
    <t>Jalisco</t>
  </si>
  <si>
    <t>VE2113</t>
  </si>
  <si>
    <t>VE211301</t>
  </si>
  <si>
    <t>Pampan</t>
  </si>
  <si>
    <t>VE211302</t>
  </si>
  <si>
    <t>Flor De Patria</t>
  </si>
  <si>
    <t>VE211303</t>
  </si>
  <si>
    <t>La Paz</t>
  </si>
  <si>
    <t>VE211304</t>
  </si>
  <si>
    <t>VE2114</t>
  </si>
  <si>
    <t>VE211401</t>
  </si>
  <si>
    <t>VE211402</t>
  </si>
  <si>
    <t>VE211403</t>
  </si>
  <si>
    <t>Pampanito Ii</t>
  </si>
  <si>
    <t>VE2115</t>
  </si>
  <si>
    <t>VE211501</t>
  </si>
  <si>
    <t>Betijoque</t>
  </si>
  <si>
    <t>VE211502</t>
  </si>
  <si>
    <t>La Pueblita</t>
  </si>
  <si>
    <t>VE211503</t>
  </si>
  <si>
    <t>Los Cedros</t>
  </si>
  <si>
    <t>VE211504</t>
  </si>
  <si>
    <t>José Gregorio Hernández</t>
  </si>
  <si>
    <t>VE2116</t>
  </si>
  <si>
    <t>VE211601</t>
  </si>
  <si>
    <t>Carvajal</t>
  </si>
  <si>
    <t>VE211602</t>
  </si>
  <si>
    <t>Antonio Nicolás Briceño</t>
  </si>
  <si>
    <t>VE211603</t>
  </si>
  <si>
    <t>Campo Alegre</t>
  </si>
  <si>
    <t>VE211604</t>
  </si>
  <si>
    <t>José Leonardo Suarez</t>
  </si>
  <si>
    <t>VE2117</t>
  </si>
  <si>
    <t>VE211701</t>
  </si>
  <si>
    <t>Sabana De Mendoza</t>
  </si>
  <si>
    <t>VE211702</t>
  </si>
  <si>
    <t>VE211703</t>
  </si>
  <si>
    <t>VE211704</t>
  </si>
  <si>
    <t>Valmore Rodríguez</t>
  </si>
  <si>
    <t>VE2118</t>
  </si>
  <si>
    <t>VE211801</t>
  </si>
  <si>
    <t>Andrés Linares</t>
  </si>
  <si>
    <t>VE211802</t>
  </si>
  <si>
    <t>VE211803</t>
  </si>
  <si>
    <t>Cristóbal Mendoza</t>
  </si>
  <si>
    <t>VE211804</t>
  </si>
  <si>
    <t>Cruz Carrillo</t>
  </si>
  <si>
    <t>VE211805</t>
  </si>
  <si>
    <t>VE211806</t>
  </si>
  <si>
    <t>Monseñor Carrillo</t>
  </si>
  <si>
    <t>VE211807</t>
  </si>
  <si>
    <t>Tres Esquinas</t>
  </si>
  <si>
    <t>VE2119</t>
  </si>
  <si>
    <t>VE211901</t>
  </si>
  <si>
    <t>La Quebrada</t>
  </si>
  <si>
    <t>VE211902</t>
  </si>
  <si>
    <t>Cabimbu</t>
  </si>
  <si>
    <t>VE211903</t>
  </si>
  <si>
    <t>Jajo</t>
  </si>
  <si>
    <t>VE211904</t>
  </si>
  <si>
    <t>VE211905</t>
  </si>
  <si>
    <t>Santiago</t>
  </si>
  <si>
    <t>VE211906</t>
  </si>
  <si>
    <t>Tuñame</t>
  </si>
  <si>
    <t>VE2120</t>
  </si>
  <si>
    <t>VE212001</t>
  </si>
  <si>
    <t>Juan Ignacio Montilla</t>
  </si>
  <si>
    <t>VE212002</t>
  </si>
  <si>
    <t>La Beatriz</t>
  </si>
  <si>
    <t>VE212003</t>
  </si>
  <si>
    <t>Mercedes Díaz</t>
  </si>
  <si>
    <t>VE212004</t>
  </si>
  <si>
    <t>VE212005</t>
  </si>
  <si>
    <t>La Puerta</t>
  </si>
  <si>
    <t>VE212006</t>
  </si>
  <si>
    <t>Mendoza</t>
  </si>
  <si>
    <t>VE2201</t>
  </si>
  <si>
    <t>VE220101</t>
  </si>
  <si>
    <t>VE2202</t>
  </si>
  <si>
    <t>VE220201</t>
  </si>
  <si>
    <t>VE2203</t>
  </si>
  <si>
    <t>VE220301</t>
  </si>
  <si>
    <t>VE220302</t>
  </si>
  <si>
    <t>VE2204</t>
  </si>
  <si>
    <t>VE220401</t>
  </si>
  <si>
    <t>VE2205</t>
  </si>
  <si>
    <t>VE220501</t>
  </si>
  <si>
    <t>VE2206</t>
  </si>
  <si>
    <t>VE220601</t>
  </si>
  <si>
    <t>VE2207</t>
  </si>
  <si>
    <t>VE220701</t>
  </si>
  <si>
    <t>VE2208</t>
  </si>
  <si>
    <t>VE220801</t>
  </si>
  <si>
    <t>VE2209</t>
  </si>
  <si>
    <t>VE220901</t>
  </si>
  <si>
    <t>VE220902</t>
  </si>
  <si>
    <t>VE220903</t>
  </si>
  <si>
    <t>Temerla</t>
  </si>
  <si>
    <t>VE2210</t>
  </si>
  <si>
    <t>VE221001</t>
  </si>
  <si>
    <t>Capital Peña</t>
  </si>
  <si>
    <t>VE221002</t>
  </si>
  <si>
    <t>San Andrés</t>
  </si>
  <si>
    <t>VE2211</t>
  </si>
  <si>
    <t>VE221101</t>
  </si>
  <si>
    <t>Capital San Felipe</t>
  </si>
  <si>
    <t>VE221102</t>
  </si>
  <si>
    <t>Albarico</t>
  </si>
  <si>
    <t>VE221103</t>
  </si>
  <si>
    <t>San Javier</t>
  </si>
  <si>
    <t>VE2212</t>
  </si>
  <si>
    <t>VE221201</t>
  </si>
  <si>
    <t>VE2213</t>
  </si>
  <si>
    <t>VE221301</t>
  </si>
  <si>
    <t>VE2214</t>
  </si>
  <si>
    <t>VE221401</t>
  </si>
  <si>
    <t>Capital Veroes</t>
  </si>
  <si>
    <t>VE221402</t>
  </si>
  <si>
    <t>El Guayabo</t>
  </si>
  <si>
    <t>VE2301</t>
  </si>
  <si>
    <t>Almirante Padilla</t>
  </si>
  <si>
    <t>VE230101</t>
  </si>
  <si>
    <t>Isla De Toas</t>
  </si>
  <si>
    <t>VE230102</t>
  </si>
  <si>
    <t>VE2302</t>
  </si>
  <si>
    <t>Baralt</t>
  </si>
  <si>
    <t>VE230201</t>
  </si>
  <si>
    <t>San Timoteo</t>
  </si>
  <si>
    <t>VE230202</t>
  </si>
  <si>
    <t>General Urdaneta</t>
  </si>
  <si>
    <t>VE230203</t>
  </si>
  <si>
    <t>VE230204</t>
  </si>
  <si>
    <t>Manuel Guanipa Matos</t>
  </si>
  <si>
    <t>VE230205</t>
  </si>
  <si>
    <t>Marcelino Briceño</t>
  </si>
  <si>
    <t>VE230206</t>
  </si>
  <si>
    <t>VE2303</t>
  </si>
  <si>
    <t>Cabimas</t>
  </si>
  <si>
    <t>VE230301</t>
  </si>
  <si>
    <t>Ambrosio</t>
  </si>
  <si>
    <t>VE230302</t>
  </si>
  <si>
    <t>Carmen Herrera</t>
  </si>
  <si>
    <t>VE230303</t>
  </si>
  <si>
    <t>Germán Ríos Linares</t>
  </si>
  <si>
    <t>VE230304</t>
  </si>
  <si>
    <t>La Rosa</t>
  </si>
  <si>
    <t>VE230305</t>
  </si>
  <si>
    <t>Jorge Hernández</t>
  </si>
  <si>
    <t>VE230306</t>
  </si>
  <si>
    <t>Rómulo Betancourt</t>
  </si>
  <si>
    <t>VE230307</t>
  </si>
  <si>
    <t>San Benito</t>
  </si>
  <si>
    <t>VE230308</t>
  </si>
  <si>
    <t>Arístides Calvani</t>
  </si>
  <si>
    <t>VE230309</t>
  </si>
  <si>
    <t>Punta Gorda</t>
  </si>
  <si>
    <t>VE2304</t>
  </si>
  <si>
    <t>Catatumbo</t>
  </si>
  <si>
    <t>VE230401</t>
  </si>
  <si>
    <t>Encontrados</t>
  </si>
  <si>
    <t>VE230402</t>
  </si>
  <si>
    <t>Udon Perez</t>
  </si>
  <si>
    <t>VE2305</t>
  </si>
  <si>
    <t>Colón</t>
  </si>
  <si>
    <t>VE230501</t>
  </si>
  <si>
    <t>San Carlos Del Zulia</t>
  </si>
  <si>
    <t>VE230502</t>
  </si>
  <si>
    <t>Moralito</t>
  </si>
  <si>
    <t>VE230503</t>
  </si>
  <si>
    <t>VE230504</t>
  </si>
  <si>
    <t>Santa Cruz Del Zulia</t>
  </si>
  <si>
    <t>VE230505</t>
  </si>
  <si>
    <t>Urribarri</t>
  </si>
  <si>
    <t>VE2306</t>
  </si>
  <si>
    <t>Francisco Javier Pulgar</t>
  </si>
  <si>
    <t>VE230601</t>
  </si>
  <si>
    <t>VE230602</t>
  </si>
  <si>
    <t>Carlos Quevedo</t>
  </si>
  <si>
    <t>VE230603</t>
  </si>
  <si>
    <t>VE2307</t>
  </si>
  <si>
    <t>Jesus Enrique Lossada</t>
  </si>
  <si>
    <t>VE230701</t>
  </si>
  <si>
    <t>VE230702</t>
  </si>
  <si>
    <t>José Ramón Yepez</t>
  </si>
  <si>
    <t>VE230703</t>
  </si>
  <si>
    <t>Mariano Parra León</t>
  </si>
  <si>
    <t>VE230704</t>
  </si>
  <si>
    <t>VE2308</t>
  </si>
  <si>
    <t>Jesus Maria Semprum</t>
  </si>
  <si>
    <t>VE230801</t>
  </si>
  <si>
    <t>Jesús María Semprum</t>
  </si>
  <si>
    <t>VE230802</t>
  </si>
  <si>
    <t>Bari</t>
  </si>
  <si>
    <t>VE2309</t>
  </si>
  <si>
    <t>La Cañada De Urdaneta</t>
  </si>
  <si>
    <t>VE230901</t>
  </si>
  <si>
    <t>VE230902</t>
  </si>
  <si>
    <t>VE230903</t>
  </si>
  <si>
    <t>VE230904</t>
  </si>
  <si>
    <t>El Carmelo</t>
  </si>
  <si>
    <t>VE230905</t>
  </si>
  <si>
    <t>Potreritos</t>
  </si>
  <si>
    <t>VE2310</t>
  </si>
  <si>
    <t>Lagunillas</t>
  </si>
  <si>
    <t>VE231001</t>
  </si>
  <si>
    <t>Alonso De Ojeda</t>
  </si>
  <si>
    <t>VE231002</t>
  </si>
  <si>
    <t>VE231003</t>
  </si>
  <si>
    <t>Campo Lara</t>
  </si>
  <si>
    <t>VE231004</t>
  </si>
  <si>
    <t>VE231005</t>
  </si>
  <si>
    <t>Venezuela</t>
  </si>
  <si>
    <t>VE231006</t>
  </si>
  <si>
    <t>El Danto</t>
  </si>
  <si>
    <t>VE2311</t>
  </si>
  <si>
    <t>Machiques De Perijá</t>
  </si>
  <si>
    <t>VE231101</t>
  </si>
  <si>
    <t>VE231102</t>
  </si>
  <si>
    <t>Bartolomé De Las Casas</t>
  </si>
  <si>
    <t>VE231103</t>
  </si>
  <si>
    <t>VE231104</t>
  </si>
  <si>
    <t>San José De Perija</t>
  </si>
  <si>
    <t>VE2312</t>
  </si>
  <si>
    <t>Mara</t>
  </si>
  <si>
    <t>VE231201</t>
  </si>
  <si>
    <t>VE231202</t>
  </si>
  <si>
    <t>La Sierrita</t>
  </si>
  <si>
    <t>VE231203</t>
  </si>
  <si>
    <t>Las Parcelas</t>
  </si>
  <si>
    <t>VE231204</t>
  </si>
  <si>
    <t>Luis De Vicente</t>
  </si>
  <si>
    <t>VE231205</t>
  </si>
  <si>
    <t>Monseñor Marcos Sergio Godoy</t>
  </si>
  <si>
    <t>VE231206</t>
  </si>
  <si>
    <t>VE231207</t>
  </si>
  <si>
    <t>Tamare</t>
  </si>
  <si>
    <t>VE2313</t>
  </si>
  <si>
    <t>Maracaibo</t>
  </si>
  <si>
    <t>VE231301</t>
  </si>
  <si>
    <t>Antonio Borjas Romero</t>
  </si>
  <si>
    <t>VE231302</t>
  </si>
  <si>
    <t>VE231303</t>
  </si>
  <si>
    <t>Cacique Mara</t>
  </si>
  <si>
    <t>VE231304</t>
  </si>
  <si>
    <t>VE231305</t>
  </si>
  <si>
    <t>VE231306</t>
  </si>
  <si>
    <t>Cristo De Aranza</t>
  </si>
  <si>
    <t>VE231307</t>
  </si>
  <si>
    <t>Coquivacoa</t>
  </si>
  <si>
    <t>VE231308</t>
  </si>
  <si>
    <t>VE231309</t>
  </si>
  <si>
    <t>Francisco Eugenio Bustamante</t>
  </si>
  <si>
    <t>VE231310</t>
  </si>
  <si>
    <t>Idelfonso Vásquez</t>
  </si>
  <si>
    <t>VE231311</t>
  </si>
  <si>
    <t>Juana De Ávila</t>
  </si>
  <si>
    <t>VE231312</t>
  </si>
  <si>
    <t>Luis Hurtado Higuera</t>
  </si>
  <si>
    <t>VE231313</t>
  </si>
  <si>
    <t>Manuel Dagnino</t>
  </si>
  <si>
    <t>VE231314</t>
  </si>
  <si>
    <t>Olegario Villalobos</t>
  </si>
  <si>
    <t>VE231315</t>
  </si>
  <si>
    <t>Raúl Leoni</t>
  </si>
  <si>
    <t>VE231316</t>
  </si>
  <si>
    <t>VE231317</t>
  </si>
  <si>
    <t>Venancio Pulgar</t>
  </si>
  <si>
    <t>VE231318</t>
  </si>
  <si>
    <t>VE2314</t>
  </si>
  <si>
    <t>VE231401</t>
  </si>
  <si>
    <t>VE231402</t>
  </si>
  <si>
    <t>Ana María Campos</t>
  </si>
  <si>
    <t>VE231403</t>
  </si>
  <si>
    <t>Faria</t>
  </si>
  <si>
    <t>VE231404</t>
  </si>
  <si>
    <t>VE231405</t>
  </si>
  <si>
    <t>VE231406</t>
  </si>
  <si>
    <t>José Antonio Chaves</t>
  </si>
  <si>
    <t>VE2315</t>
  </si>
  <si>
    <t>Indígena Bolivariano Guajira</t>
  </si>
  <si>
    <t>VE231501</t>
  </si>
  <si>
    <t>Sinamaica</t>
  </si>
  <si>
    <t>VE231502</t>
  </si>
  <si>
    <t>Alta Guajira</t>
  </si>
  <si>
    <t>VE231503</t>
  </si>
  <si>
    <t>Elías Sánchez Rubio</t>
  </si>
  <si>
    <t>VE231504</t>
  </si>
  <si>
    <t>Guajira</t>
  </si>
  <si>
    <t>VE2316</t>
  </si>
  <si>
    <t>Rosario De Perijá</t>
  </si>
  <si>
    <t>VE231601</t>
  </si>
  <si>
    <t>El Rosario</t>
  </si>
  <si>
    <t>VE231602</t>
  </si>
  <si>
    <t>Donaldo García</t>
  </si>
  <si>
    <t>VE231603</t>
  </si>
  <si>
    <t>Sixto Zambrano</t>
  </si>
  <si>
    <t>VE2317</t>
  </si>
  <si>
    <t>VE231701</t>
  </si>
  <si>
    <t>VE231702</t>
  </si>
  <si>
    <t>El Bajo</t>
  </si>
  <si>
    <t>VE231703</t>
  </si>
  <si>
    <t>Domitila Flores</t>
  </si>
  <si>
    <t>VE231704</t>
  </si>
  <si>
    <t>Francisco Ochoa</t>
  </si>
  <si>
    <t>VE231705</t>
  </si>
  <si>
    <t>Los Cortijos</t>
  </si>
  <si>
    <t>VE231706</t>
  </si>
  <si>
    <t>Marcial Hernández</t>
  </si>
  <si>
    <t>VE231707</t>
  </si>
  <si>
    <t>José Domingo Rus</t>
  </si>
  <si>
    <t>VE2318</t>
  </si>
  <si>
    <t>VE231801</t>
  </si>
  <si>
    <t>VE231802</t>
  </si>
  <si>
    <t>El Mene</t>
  </si>
  <si>
    <t>VE231803</t>
  </si>
  <si>
    <t>José Cenovio Urribarri</t>
  </si>
  <si>
    <t>VE231804</t>
  </si>
  <si>
    <t>Pedro Lucas Urribarri</t>
  </si>
  <si>
    <t>VE2319</t>
  </si>
  <si>
    <t>VE231901</t>
  </si>
  <si>
    <t>VE231902</t>
  </si>
  <si>
    <t>Rafael María Baralt</t>
  </si>
  <si>
    <t>VE231903</t>
  </si>
  <si>
    <t>VE2320</t>
  </si>
  <si>
    <t>VE232001</t>
  </si>
  <si>
    <t>Bobures</t>
  </si>
  <si>
    <t>VE232002</t>
  </si>
  <si>
    <t>El Batey</t>
  </si>
  <si>
    <t>VE232003</t>
  </si>
  <si>
    <t>Gibraltar</t>
  </si>
  <si>
    <t>VE232004</t>
  </si>
  <si>
    <t>Heras</t>
  </si>
  <si>
    <t>VE232005</t>
  </si>
  <si>
    <t>Monseñor Arturo Celestino Álvarez</t>
  </si>
  <si>
    <t>VE232006</t>
  </si>
  <si>
    <t>VE2321</t>
  </si>
  <si>
    <t>VE232101</t>
  </si>
  <si>
    <t>La Victoria</t>
  </si>
  <si>
    <t>VE232102</t>
  </si>
  <si>
    <t>VE232103</t>
  </si>
  <si>
    <t>Raúl Cuenca</t>
  </si>
  <si>
    <t>VE2401</t>
  </si>
  <si>
    <t>VE240101</t>
  </si>
  <si>
    <t>Caraballeda</t>
  </si>
  <si>
    <t>VE240102</t>
  </si>
  <si>
    <t>Carayaca</t>
  </si>
  <si>
    <t>VE240103</t>
  </si>
  <si>
    <t>Caruao</t>
  </si>
  <si>
    <t>VE240104</t>
  </si>
  <si>
    <t>Catia La Mar</t>
  </si>
  <si>
    <t>VE240105</t>
  </si>
  <si>
    <t>El Junko</t>
  </si>
  <si>
    <t>VE240106</t>
  </si>
  <si>
    <t>VE240107</t>
  </si>
  <si>
    <t>Macuto</t>
  </si>
  <si>
    <t>VE240108</t>
  </si>
  <si>
    <t>Maiquetía</t>
  </si>
  <si>
    <t>VE240109</t>
  </si>
  <si>
    <t>Naiguata</t>
  </si>
  <si>
    <t>VE240110</t>
  </si>
  <si>
    <t>Urimare</t>
  </si>
  <si>
    <t>VE240111</t>
  </si>
  <si>
    <t>Carlos Soublette</t>
  </si>
  <si>
    <t>UBICACION</t>
  </si>
  <si>
    <t>Reporte Kobo</t>
  </si>
  <si>
    <t>desde</t>
  </si>
  <si>
    <t>hasta</t>
  </si>
  <si>
    <t>Estado *</t>
  </si>
  <si>
    <t>Sector Programático *</t>
  </si>
  <si>
    <t>Clave Nombre</t>
  </si>
  <si>
    <t>Fechas de atencion</t>
  </si>
  <si>
    <t>Municipio *</t>
  </si>
  <si>
    <t>Actividad a reportar *</t>
  </si>
  <si>
    <t>Recurrentes</t>
  </si>
  <si>
    <t>Si</t>
  </si>
  <si>
    <t>Parroquia *</t>
  </si>
  <si>
    <t>Detalles adicionales de la actividad</t>
  </si>
  <si>
    <t>DVXDVZMXNVMNZXC,MNZCMXMCZ</t>
  </si>
  <si>
    <t>Recurrente por CI en fila</t>
  </si>
  <si>
    <t>Total de Beneficiarios Alcanzados</t>
  </si>
  <si>
    <t>Tipo de Instalación *</t>
  </si>
  <si>
    <t>Fecha de atencion</t>
  </si>
  <si>
    <t>Niñas (0 a 5 años)</t>
  </si>
  <si>
    <t>Mujeres (18 a 59 años)</t>
  </si>
  <si>
    <t>Nombre del lugar *</t>
  </si>
  <si>
    <t>ALTO SUAPIRE</t>
  </si>
  <si>
    <t>Recurrente por Nombre en fila</t>
  </si>
  <si>
    <t>Niños (0 a 5 años)</t>
  </si>
  <si>
    <t>Hombres (18 a 59 años)</t>
  </si>
  <si>
    <t>Latitud 
(decimal es coma)</t>
  </si>
  <si>
    <t>Niñas de 6 a 11 años</t>
  </si>
  <si>
    <t>Mujeres (60 años o más)</t>
  </si>
  <si>
    <t>Longitud 
(decimal es coma)</t>
  </si>
  <si>
    <t>Niños de 6 a 11 años</t>
  </si>
  <si>
    <t>Hombres (60 años o más)</t>
  </si>
  <si>
    <t>Niñas de 12 a 17 años</t>
  </si>
  <si>
    <t>Personas con discapacidad</t>
  </si>
  <si>
    <t>Beneficiarios</t>
  </si>
  <si>
    <t>Población Indígena</t>
  </si>
  <si>
    <t>Registro</t>
  </si>
  <si>
    <t>Nombre y apellido *</t>
  </si>
  <si>
    <t>Edad *</t>
  </si>
  <si>
    <t>Sexo *</t>
  </si>
  <si>
    <t>Cedula</t>
  </si>
  <si>
    <t>Telefono</t>
  </si>
  <si>
    <t>Discapacidad *</t>
  </si>
  <si>
    <t>Indigena *</t>
  </si>
  <si>
    <t>Embarazada o lactante *</t>
  </si>
  <si>
    <t>Recurrente *</t>
  </si>
  <si>
    <t>Mujeres embarazadas o en lactancia</t>
  </si>
  <si>
    <t>DSFSDDADFDASDF</t>
  </si>
  <si>
    <t>No</t>
  </si>
  <si>
    <t>Estado</t>
  </si>
  <si>
    <t>Municipio</t>
  </si>
  <si>
    <t>Parroquia</t>
  </si>
  <si>
    <t>Tipo de Instalación</t>
  </si>
  <si>
    <t>Nombre del lugar</t>
  </si>
  <si>
    <t>Latitud</t>
  </si>
  <si>
    <t>Longitud</t>
  </si>
  <si>
    <t>Sector Programático</t>
  </si>
  <si>
    <t>Actividad a reportar</t>
  </si>
  <si>
    <t>Fecha atencion</t>
  </si>
  <si>
    <t>Nombre y apellido</t>
  </si>
  <si>
    <t>Edad</t>
  </si>
  <si>
    <t>Sexo</t>
  </si>
  <si>
    <t>Indigena</t>
  </si>
  <si>
    <t>Embarazada o lactante</t>
  </si>
  <si>
    <t>Recurrente</t>
  </si>
  <si>
    <t>Clave</t>
  </si>
  <si>
    <t xml:space="preserve">Es un ejemplo </t>
  </si>
  <si>
    <t>cualquier cosa</t>
  </si>
  <si>
    <t>46218</t>
  </si>
  <si>
    <t>a</t>
  </si>
  <si>
    <t>Ninguna, Discapacidad Física o Motora</t>
  </si>
  <si>
    <t>N/A</t>
  </si>
  <si>
    <t>sfsdfsf</t>
  </si>
  <si>
    <t>gfgfggff</t>
  </si>
  <si>
    <t>https://ee-eu.kobotoolbox.org/x/ofa0up0F</t>
  </si>
  <si>
    <t>sumifs sumifs(rango_suma; rango_criterio1; criterio1; rango_criterio2; criterio2; ...)</t>
  </si>
  <si>
    <t>CountifI(rango; criterio)</t>
  </si>
  <si>
    <t>countifs(rango_criterio1; criterio1; rango_criterio2; criterio2; 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</si>
</sst>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De &quot;mmmm"/>
    <numFmt numFmtId="165" formatCode="d/MM/yyyy"/>
    <numFmt numFmtId="166" formatCode="dd/mm/yyyy"/>
    <numFmt numFmtId="167" formatCode="d/M/yyyy"/>
  </numFmts>
  <fonts count="31">
    <font>
      <sz val="11.0"/>
      <color theme="1"/>
      <name val="Arial"/>
      <scheme val="minor"/>
    </font>
    <font>
      <color theme="1"/>
      <name val="Arial"/>
      <scheme val="minor"/>
    </font>
    <font>
      <b/>
      <sz val="12.0"/>
      <color rgb="FF002060"/>
      <name val="Arial"/>
    </font>
    <font>
      <b/>
      <sz val="9.0"/>
      <color theme="0"/>
      <name val="Arial"/>
    </font>
    <font>
      <b/>
      <sz val="11.0"/>
      <color theme="0"/>
      <name val="Arial"/>
    </font>
    <font>
      <b/>
      <sz val="11.0"/>
      <color rgb="FFFFFFFF"/>
      <name val="Arial"/>
    </font>
    <font>
      <sz val="11.0"/>
      <color theme="1"/>
      <name val="Arial"/>
    </font>
    <font>
      <sz val="9.0"/>
      <color rgb="FFE3E3E3"/>
      <name val="Monospace"/>
    </font>
    <font>
      <sz val="11.0"/>
      <color rgb="FF000000"/>
      <name val="Calibri"/>
    </font>
    <font>
      <sz val="9.0"/>
      <color theme="1"/>
      <name val="&quot;Courier New&quot;"/>
    </font>
    <font>
      <sz val="9.0"/>
      <color theme="1"/>
      <name val="Arial"/>
    </font>
    <font>
      <sz val="16.0"/>
      <color theme="1"/>
      <name val="Arial"/>
    </font>
    <font>
      <color rgb="FFFFFFFF"/>
      <name val="Arial"/>
      <scheme val="minor"/>
    </font>
    <font>
      <sz val="36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b/>
      <sz val="15.0"/>
      <color theme="1"/>
      <name val="Arial"/>
    </font>
    <font>
      <i/>
      <sz val="11.0"/>
      <color theme="1"/>
      <name val="Arial"/>
    </font>
    <font>
      <i/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i/>
      <sz val="10.0"/>
      <color theme="1"/>
      <name val="Arial"/>
    </font>
    <font>
      <b/>
      <sz val="11.0"/>
      <color rgb="FF333333"/>
      <name val="Arial"/>
    </font>
    <font>
      <b/>
      <sz val="18.0"/>
      <color theme="1"/>
      <name val="Arial"/>
      <scheme val="minor"/>
    </font>
    <font>
      <sz val="11.0"/>
      <color theme="1"/>
      <name val="Monospace"/>
    </font>
    <font>
      <b/>
      <sz val="10.0"/>
      <color rgb="FFFF0000"/>
      <name val="Arial"/>
    </font>
    <font>
      <b/>
      <sz val="11.0"/>
      <color rgb="FF333333"/>
      <name val="OpenSans"/>
    </font>
    <font>
      <b/>
      <sz val="11.0"/>
      <color theme="1"/>
      <name val="Arial"/>
    </font>
    <font>
      <b/>
      <sz val="11.0"/>
      <color theme="1"/>
      <name val="OpenSans"/>
    </font>
    <font>
      <b/>
      <i/>
      <sz val="10.0"/>
      <color theme="1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282828"/>
        <bgColor rgb="FF282828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BF2F8"/>
        <bgColor rgb="FFEBF2F8"/>
      </patternFill>
    </fill>
  </fills>
  <borders count="26">
    <border/>
    <border>
      <left/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/>
      <right/>
      <top/>
      <bottom style="thin">
        <color theme="0"/>
      </bottom>
    </border>
    <border>
      <left style="thin">
        <color theme="0"/>
      </left>
      <right style="thin">
        <color theme="0"/>
      </right>
      <top/>
      <bottom/>
    </border>
    <border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left style="thin">
        <color rgb="FF0070C0"/>
      </left>
      <bottom style="thin">
        <color rgb="FF0070C0"/>
      </bottom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</border>
    <border>
      <left style="thin">
        <color rgb="FF0070C0"/>
      </left>
      <top style="thin">
        <color rgb="FF0070C0"/>
      </top>
    </border>
    <border>
      <left style="thin">
        <color rgb="FF3A50F4"/>
      </left>
      <right style="thin">
        <color rgb="FF3A50F4"/>
      </right>
      <top style="thin">
        <color rgb="FF3A50F4"/>
      </top>
      <bottom style="thin">
        <color rgb="FF3A50F4"/>
      </bottom>
    </border>
    <border>
      <left style="thin">
        <color rgb="FF3A50F4"/>
      </left>
      <right style="thin">
        <color rgb="FF3A50F4"/>
      </right>
      <top style="thin">
        <color rgb="FF3A50F4"/>
      </top>
      <bottom/>
    </border>
    <border>
      <left/>
      <right/>
      <top/>
      <bottom/>
    </border>
    <border>
      <left/>
      <right style="thin">
        <color rgb="FF3A50F4"/>
      </right>
      <top/>
      <bottom style="thin">
        <color rgb="FF3A50F4"/>
      </bottom>
    </border>
    <border>
      <left style="thin">
        <color rgb="FF3A50F4"/>
      </left>
      <right style="thin">
        <color rgb="FF3A50F4"/>
      </right>
      <top/>
      <bottom style="thin">
        <color rgb="FF3A50F4"/>
      </bottom>
    </border>
    <border>
      <right style="thin">
        <color rgb="FF3A50F4"/>
      </right>
      <top style="thin">
        <color rgb="FF3A50F4"/>
      </top>
      <bottom style="thin">
        <color rgb="FF3A50F4"/>
      </bottom>
    </border>
    <border>
      <right style="thin">
        <color rgb="FF3A50F4"/>
      </right>
      <top style="thin">
        <color rgb="FF3A50F4"/>
      </top>
    </border>
    <border>
      <left style="thin">
        <color rgb="FF3A50F4"/>
      </left>
      <right style="thin">
        <color rgb="FF3A50F4"/>
      </right>
      <top style="thin">
        <color rgb="FF3A50F4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vertical="center"/>
    </xf>
    <xf borderId="0" fillId="3" fontId="7" numFmtId="0" xfId="0" applyAlignment="1" applyFill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1" numFmtId="0" xfId="0" applyFont="1"/>
    <xf borderId="5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0" fillId="0" fontId="8" numFmtId="0" xfId="0" applyAlignment="1" applyFont="1">
      <alignment readingOrder="0" shrinkToFit="0" vertical="bottom" wrapText="0"/>
    </xf>
    <xf borderId="0" fillId="3" fontId="7" numFmtId="0" xfId="0" applyAlignment="1" applyFont="1">
      <alignment readingOrder="0" shrinkToFit="0" vertical="center" wrapText="0"/>
    </xf>
    <xf borderId="8" fillId="0" fontId="6" numFmtId="0" xfId="0" applyAlignment="1" applyBorder="1" applyFont="1">
      <alignment horizontal="left" vertical="center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vertical="center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left" vertical="center"/>
    </xf>
    <xf borderId="0" fillId="0" fontId="11" numFmtId="0" xfId="0" applyAlignment="1" applyFont="1">
      <alignment horizontal="left"/>
    </xf>
    <xf borderId="0" fillId="0" fontId="12" numFmtId="0" xfId="0" applyFont="1"/>
    <xf borderId="11" fillId="4" fontId="10" numFmtId="0" xfId="0" applyAlignment="1" applyBorder="1" applyFill="1" applyFont="1">
      <alignment horizontal="left" shrinkToFit="0" vertical="center" wrapText="1"/>
    </xf>
    <xf borderId="11" fillId="0" fontId="10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right"/>
    </xf>
    <xf borderId="12" fillId="4" fontId="10" numFmtId="0" xfId="0" applyAlignment="1" applyBorder="1" applyFont="1">
      <alignment horizontal="left" shrinkToFit="0" vertical="center" wrapText="1"/>
    </xf>
    <xf borderId="11" fillId="4" fontId="14" numFmtId="0" xfId="0" applyAlignment="1" applyBorder="1" applyFont="1">
      <alignment horizontal="left" shrinkToFit="0" vertical="center" wrapText="1"/>
    </xf>
    <xf borderId="11" fillId="0" fontId="14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left" shrinkToFit="0" vertical="top" wrapText="1"/>
    </xf>
    <xf borderId="11" fillId="4" fontId="10" numFmtId="0" xfId="0" applyAlignment="1" applyBorder="1" applyFont="1">
      <alignment horizontal="left" shrinkToFit="0" vertical="top" wrapText="1"/>
    </xf>
    <xf borderId="11" fillId="0" fontId="6" numFmtId="0" xfId="0" applyBorder="1" applyFont="1"/>
    <xf borderId="13" fillId="4" fontId="10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/>
    </xf>
    <xf borderId="14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readingOrder="0"/>
    </xf>
    <xf borderId="16" fillId="0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left" shrinkToFit="0" vertical="top" wrapText="1"/>
    </xf>
    <xf borderId="0" fillId="0" fontId="1" numFmtId="0" xfId="0" applyFont="1"/>
    <xf borderId="0" fillId="5" fontId="1" numFmtId="0" xfId="0" applyFill="1" applyFont="1"/>
    <xf borderId="0" fillId="0" fontId="1" numFmtId="164" xfId="0" applyAlignment="1" applyFont="1" applyNumberFormat="1">
      <alignment readingOrder="0"/>
    </xf>
    <xf borderId="17" fillId="0" fontId="10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horizontal="left" shrinkToFit="0" vertical="center" wrapText="1"/>
    </xf>
    <xf borderId="18" fillId="0" fontId="10" numFmtId="0" xfId="0" applyAlignment="1" applyBorder="1" applyFont="1">
      <alignment horizontal="center" shrinkToFit="0" vertical="center" wrapText="1"/>
    </xf>
    <xf borderId="18" fillId="0" fontId="10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 readingOrder="0" shrinkToFit="0" vertical="center" wrapText="1"/>
    </xf>
    <xf borderId="0" fillId="0" fontId="14" numFmtId="165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19" fillId="0" fontId="14" numFmtId="0" xfId="0" applyAlignment="1" applyBorder="1" applyFont="1">
      <alignment horizontal="left" readingOrder="0" vertical="center"/>
    </xf>
    <xf borderId="20" fillId="0" fontId="17" numFmtId="0" xfId="0" applyAlignment="1" applyBorder="1" applyFont="1">
      <alignment horizontal="left" readingOrder="0" vertical="center"/>
    </xf>
    <xf borderId="21" fillId="0" fontId="14" numFmtId="0" xfId="0" applyAlignment="1" applyBorder="1" applyFont="1">
      <alignment horizontal="left" readingOrder="0" shrinkToFit="0" vertical="center" wrapText="1"/>
    </xf>
    <xf borderId="19" fillId="0" fontId="18" numFmtId="0" xfId="0" applyAlignment="1" applyBorder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9" fillId="0" fontId="1" numFmtId="0" xfId="0" applyAlignment="1" applyBorder="1" applyFont="1">
      <alignment readingOrder="0"/>
    </xf>
    <xf borderId="19" fillId="0" fontId="19" numFmtId="166" xfId="0" applyAlignment="1" applyBorder="1" applyFont="1" applyNumberFormat="1">
      <alignment horizontal="center" readingOrder="0" shrinkToFit="0" vertical="center" wrapText="1"/>
    </xf>
    <xf borderId="0" fillId="5" fontId="20" numFmtId="0" xfId="0" applyFont="1"/>
    <xf borderId="22" fillId="0" fontId="18" numFmtId="0" xfId="0" applyAlignment="1" applyBorder="1" applyFont="1">
      <alignment horizontal="left" readingOrder="0" vertical="center"/>
    </xf>
    <xf borderId="19" fillId="0" fontId="21" numFmtId="0" xfId="0" applyAlignment="1" applyBorder="1" applyFont="1">
      <alignment horizontal="center" readingOrder="0" shrinkToFit="0" vertical="center" wrapText="1"/>
    </xf>
    <xf borderId="19" fillId="0" fontId="14" numFmtId="0" xfId="0" applyAlignment="1" applyBorder="1" applyFont="1">
      <alignment horizontal="center" readingOrder="0" shrinkToFit="0" vertical="center" wrapText="1"/>
    </xf>
    <xf borderId="19" fillId="0" fontId="21" numFmtId="0" xfId="0" applyAlignment="1" applyBorder="1" applyFont="1">
      <alignment horizontal="left" readingOrder="0" shrinkToFit="0" vertical="center" wrapText="1"/>
    </xf>
    <xf borderId="23" fillId="0" fontId="15" numFmtId="0" xfId="0" applyAlignment="1" applyBorder="1" applyFont="1">
      <alignment horizontal="center" readingOrder="0"/>
    </xf>
    <xf borderId="19" fillId="6" fontId="22" numFmtId="0" xfId="0" applyAlignment="1" applyBorder="1" applyFill="1" applyFont="1">
      <alignment horizontal="left" readingOrder="0"/>
    </xf>
    <xf borderId="22" fillId="0" fontId="17" numFmtId="0" xfId="0" applyAlignment="1" applyBorder="1" applyFont="1">
      <alignment horizontal="left" readingOrder="0" shrinkToFit="0" vertical="center" wrapText="1"/>
    </xf>
    <xf borderId="19" fillId="0" fontId="14" numFmtId="0" xfId="0" applyAlignment="1" applyBorder="1" applyFont="1">
      <alignment horizontal="left" readingOrder="0" shrinkToFit="0" vertical="center" wrapText="1"/>
    </xf>
    <xf borderId="24" fillId="0" fontId="23" numFmtId="0" xfId="0" applyAlignment="1" applyBorder="1" applyFont="1">
      <alignment horizontal="center" readingOrder="0"/>
    </xf>
    <xf borderId="19" fillId="7" fontId="22" numFmtId="0" xfId="0" applyAlignment="1" applyBorder="1" applyFill="1" applyFont="1">
      <alignment readingOrder="0"/>
    </xf>
    <xf borderId="19" fillId="0" fontId="6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22" fillId="0" fontId="21" numFmtId="0" xfId="0" applyAlignment="1" applyBorder="1" applyFont="1">
      <alignment horizontal="left" readingOrder="0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23" fillId="0" fontId="14" numFmtId="0" xfId="0" applyAlignment="1" applyBorder="1" applyFont="1">
      <alignment horizontal="center" readingOrder="0" shrinkToFit="0" vertical="center" wrapText="1"/>
    </xf>
    <xf borderId="22" fillId="0" fontId="21" numFmtId="0" xfId="0" applyAlignment="1" applyBorder="1" applyFont="1">
      <alignment horizontal="center" readingOrder="0" shrinkToFit="0" vertical="center" wrapText="1"/>
    </xf>
    <xf borderId="25" fillId="0" fontId="21" numFmtId="0" xfId="0" applyAlignment="1" applyBorder="1" applyFont="1">
      <alignment horizontal="center" readingOrder="0" shrinkToFit="0" vertical="center" wrapText="1"/>
    </xf>
    <xf borderId="19" fillId="7" fontId="26" numFmtId="0" xfId="0" applyAlignment="1" applyBorder="1" applyFont="1">
      <alignment readingOrder="0"/>
    </xf>
    <xf borderId="0" fillId="0" fontId="16" numFmtId="0" xfId="0" applyAlignment="1" applyFont="1">
      <alignment horizontal="left" readingOrder="0" shrinkToFit="0" vertical="center" wrapText="0"/>
    </xf>
    <xf borderId="19" fillId="0" fontId="15" numFmtId="0" xfId="0" applyAlignment="1" applyBorder="1" applyFont="1">
      <alignment readingOrder="0"/>
    </xf>
    <xf borderId="19" fillId="0" fontId="15" numFmtId="0" xfId="0" applyAlignment="1" applyBorder="1" applyFont="1">
      <alignment horizontal="center"/>
    </xf>
    <xf borderId="19" fillId="0" fontId="14" numFmtId="0" xfId="0" applyAlignment="1" applyBorder="1" applyFont="1">
      <alignment horizontal="left" readingOrder="0" shrinkToFit="0" vertical="center" wrapText="1"/>
    </xf>
    <xf borderId="19" fillId="0" fontId="1" numFmtId="0" xfId="0" applyAlignment="1" applyBorder="1" applyFont="1">
      <alignment horizontal="center" readingOrder="0"/>
    </xf>
    <xf borderId="19" fillId="0" fontId="14" numFmtId="0" xfId="0" applyAlignment="1" applyBorder="1" applyFont="1">
      <alignment horizontal="right" readingOrder="0" shrinkToFit="0" vertical="center" wrapText="1"/>
    </xf>
    <xf borderId="19" fillId="0" fontId="14" numFmtId="0" xfId="0" applyAlignment="1" applyBorder="1" applyFont="1">
      <alignment horizontal="left" readingOrder="0" vertical="center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0"/>
    </xf>
    <xf borderId="0" fillId="0" fontId="27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shrinkToFit="0" vertical="center" wrapText="1"/>
    </xf>
    <xf borderId="0" fillId="0" fontId="17" numFmtId="0" xfId="0" applyAlignment="1" applyFont="1">
      <alignment readingOrder="0" shrinkToFit="0" vertical="center" wrapText="0"/>
    </xf>
    <xf borderId="0" fillId="0" fontId="21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" numFmtId="3" xfId="0" applyFont="1" applyNumberFormat="1"/>
    <xf borderId="0" fillId="0" fontId="1" numFmtId="165" xfId="0" applyFont="1" applyNumberFormat="1"/>
    <xf borderId="0" fillId="0" fontId="30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21" fillId="0" fontId="22" numFmtId="0" xfId="0" applyAlignment="1" applyBorder="1" applyFont="1">
      <alignment readingOrder="0" vertical="center"/>
    </xf>
    <xf borderId="25" fillId="0" fontId="2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2">
    <tableStyle count="4" pivot="0" name="Lis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Listas-style 2">
      <tableStyleElement dxfId="5" type="headerRow"/>
      <tableStyleElement dxfId="6" type="firstRowStripe"/>
      <tableStyleElement dxfId="7" type="secondRowStripe"/>
    </tableStyle>
    <tableStyle count="3" pivot="0" name="Listas-style 3">
      <tableStyleElement dxfId="5" type="headerRow"/>
      <tableStyleElement dxfId="6" type="firstRowStripe"/>
      <tableStyleElement dxfId="7" type="secondRowStripe"/>
    </tableStyle>
    <tableStyle count="3" pivot="0" name="Listas-style 4">
      <tableStyleElement dxfId="5" type="headerRow"/>
      <tableStyleElement dxfId="6" type="firstRowStripe"/>
      <tableStyleElement dxfId="7" type="secondRowStripe"/>
    </tableStyle>
    <tableStyle count="3" pivot="0" name="Listas-style 5">
      <tableStyleElement dxfId="5" type="headerRow"/>
      <tableStyleElement dxfId="6" type="firstRowStripe"/>
      <tableStyleElement dxfId="7" type="secondRowStripe"/>
    </tableStyle>
    <tableStyle count="3" pivot="0" name="Listas-style 6">
      <tableStyleElement dxfId="5" type="headerRow"/>
      <tableStyleElement dxfId="6" type="firstRowStripe"/>
      <tableStyleElement dxfId="7" type="secondRowStripe"/>
    </tableStyle>
    <tableStyle count="3" pivot="0" name="Listas-style 7">
      <tableStyleElement dxfId="5" type="headerRow"/>
      <tableStyleElement dxfId="6" type="firstRowStripe"/>
      <tableStyleElement dxfId="7" type="secondRowStripe"/>
    </tableStyle>
    <tableStyle count="3" pivot="0" name="Listas-style 8">
      <tableStyleElement dxfId="5" type="headerRow"/>
      <tableStyleElement dxfId="6" type="firstRowStripe"/>
      <tableStyleElement dxfId="7" type="secondRowStripe"/>
    </tableStyle>
    <tableStyle count="3" pivot="0" name="Listas-style 9">
      <tableStyleElement dxfId="5" type="headerRow"/>
      <tableStyleElement dxfId="6" type="firstRowStripe"/>
      <tableStyleElement dxfId="7" type="secondRowStripe"/>
    </tableStyle>
    <tableStyle count="3" pivot="0" name="Listas-style 10">
      <tableStyleElement dxfId="5" type="headerRow"/>
      <tableStyleElement dxfId="6" type="firstRowStripe"/>
      <tableStyleElement dxfId="7" type="secondRowStripe"/>
    </tableStyle>
    <tableStyle count="3" pivot="0" name="Listas-style 11">
      <tableStyleElement dxfId="5" type="headerRow"/>
      <tableStyleElement dxfId="6" type="firstRowStripe"/>
      <tableStyleElement dxfId="7" type="secondRowStripe"/>
    </tableStyle>
    <tableStyle count="4" pivot="0" name="Listas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istas-style 15">
      <tableStyleElement dxfId="6" type="firstRowStripe"/>
      <tableStyleElement dxfId="7" type="secondRowStripe"/>
    </tableStyle>
    <tableStyle count="4" pivot="0" name="Listas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istas-style 18">
      <tableStyleElement dxfId="2" type="firstRowStripe"/>
      <tableStyleElement dxfId="3" type="secondRowStripe"/>
    </tableStyle>
    <tableStyle count="3" pivot="0" name="Ubicaciones-style">
      <tableStyleElement dxfId="5" type="headerRow"/>
      <tableStyleElement dxfId="6" type="firstRowStripe"/>
      <tableStyleElement dxfId="7" type="secondRowStripe"/>
    </tableStyle>
    <tableStyle count="3" pivot="0" name="Ubicaciones-style 2">
      <tableStyleElement dxfId="8" type="headerRow"/>
      <tableStyleElement dxfId="7" type="firstRowStripe"/>
      <tableStyleElement dxfId="7" type="secondRowStripe"/>
    </tableStyle>
    <tableStyle count="4" pivot="0" name="Da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809625</xdr:colOff>
      <xdr:row>7</xdr:row>
      <xdr:rowOff>209550</xdr:rowOff>
    </xdr:from>
    <xdr:ext cx="1876425" cy="447675"/>
    <xdr:sp>
      <xdr:nvSpPr>
        <xdr:cNvPr id="3" name="Shape 3"/>
        <xdr:cNvSpPr/>
      </xdr:nvSpPr>
      <xdr:spPr>
        <a:xfrm>
          <a:off x="322025" y="345750"/>
          <a:ext cx="1860900" cy="427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Guardar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ny Primera" id="{b196c310-cff0-465a-a8f6-6bcf3e720694}" providerId="google-sheets"/>
</x18tc:personList>
</file>

<file path=xl/tables/table1.xml><?xml version="1.0" encoding="utf-8"?>
<table xmlns="http://schemas.openxmlformats.org/spreadsheetml/2006/main" ref="AJ4:AJ39" displayName="Tb_Etnias" name="Tb_Etnias" id="1">
  <tableColumns count="1">
    <tableColumn name="Etnia" id="1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5:A17" displayName="Table_1" name="Table_1" id="2">
  <tableColumns count="1">
    <tableColumn name="Actividad" id="1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C5:C23" displayName="Table_2" name="Table_2" id="3">
  <tableColumns count="1">
    <tableColumn name="Sector" id="1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E5:E22" displayName="Table_3" name="Table_3" id="4">
  <tableColumns count="1">
    <tableColumn name="Tipo_Establecimiento" id="1"/>
  </tableColumns>
  <tableStyleInfo name="Listas-style 4" showColumnStripes="0" showFirstColumn="1" showLastColumn="1" showRowStripes="1"/>
</table>
</file>

<file path=xl/tables/table5.xml><?xml version="1.0" encoding="utf-8"?>
<table xmlns="http://schemas.openxmlformats.org/spreadsheetml/2006/main" ref="G5:G11" displayName="Table_4" name="Table_4" id="5">
  <tableColumns count="1">
    <tableColumn name="Tipo_Retroalimentación" id="1"/>
  </tableColumns>
  <tableStyleInfo name="Listas-style 5" showColumnStripes="0" showFirstColumn="1" showLastColumn="1" showRowStripes="1"/>
</table>
</file>

<file path=xl/tables/table6.xml><?xml version="1.0" encoding="utf-8"?>
<table xmlns="http://schemas.openxmlformats.org/spreadsheetml/2006/main" ref="I5:I7" displayName="Table_5" name="Table_5" id="6">
  <tableColumns count="1">
    <tableColumn name="Necesita_seguimiento" id="1"/>
  </tableColumns>
  <tableStyleInfo name="Listas-style 6" showColumnStripes="0" showFirstColumn="1" showLastColumn="1" showRowStripes="1"/>
</table>
</file>

<file path=xl/tables/table7.xml><?xml version="1.0" encoding="utf-8"?>
<table xmlns="http://schemas.openxmlformats.org/spreadsheetml/2006/main" ref="K5:K12" displayName="Table_6" name="Table_6" id="7">
  <tableColumns count="1">
    <tableColumn name="Genero" id="1"/>
  </tableColumns>
  <tableStyleInfo name="Listas-style 7" showColumnStripes="0" showFirstColumn="1" showLastColumn="1" showRowStripes="1"/>
</table>
</file>

<file path=xl/tables/table8.xml><?xml version="1.0" encoding="utf-8"?>
<table xmlns="http://schemas.openxmlformats.org/spreadsheetml/2006/main" ref="M5:M9" displayName="Table_7" name="Table_7" id="8">
  <tableColumns count="1">
    <tableColumn name="EDAD" id="1"/>
  </tableColumns>
  <tableStyleInfo name="Listas-style 8" showColumnStripes="0" showFirstColumn="1" showLastColumn="1" showRowStripes="1"/>
</table>
</file>

<file path=xl/tables/table9.xml><?xml version="1.0" encoding="utf-8"?>
<table xmlns="http://schemas.openxmlformats.org/spreadsheetml/2006/main" ref="O5:O26" displayName="Table_8" name="Table_8" id="9">
  <tableColumns count="1">
    <tableColumn name="PERFIL" id="1"/>
  </tableColumns>
  <tableStyleInfo name="Listas-style 9" showColumnStripes="0" showFirstColumn="1" showLastColumn="1" showRowStripes="1"/>
</table>
</file>

<file path=xl/tables/table10.xml><?xml version="1.0" encoding="utf-8"?>
<table xmlns="http://schemas.openxmlformats.org/spreadsheetml/2006/main" ref="R5:Z29" displayName="Table_9" name="Table_9" id="10">
  <tableColumns count="9">
    <tableColumn name="Codigo Estado" id="1"/>
    <tableColumn name="ESTADO" id="2"/>
    <tableColumn name="Codigo Estado2" id="3"/>
    <tableColumn name="Codigo Municipio" id="4"/>
    <tableColumn name="MUNICIPIO" id="5"/>
    <tableColumn name="Codigo Municipio3" id="6"/>
    <tableColumn name="Codigo Parroquia" id="7"/>
    <tableColumn name="PARROQUIA" id="8"/>
    <tableColumn name="Codigo Parroquia4" id="9"/>
  </tableColumns>
  <tableStyleInfo name="Listas-style 10" showColumnStripes="0" showFirstColumn="1" showLastColumn="1" showRowStripes="1"/>
</table>
</file>

<file path=xl/tables/table11.xml><?xml version="1.0" encoding="utf-8"?>
<table xmlns="http://schemas.openxmlformats.org/spreadsheetml/2006/main" ref="AB5:AB18" displayName="Table_10" name="Table_10" id="11">
  <tableColumns count="1">
    <tableColumn name="Actividades" id="1"/>
  </tableColumns>
  <tableStyleInfo name="Listas-style 11" showColumnStripes="0" showFirstColumn="1" showLastColumn="1" showRowStripes="1"/>
</table>
</file>

<file path=xl/tables/table12.xml><?xml version="1.0" encoding="utf-8"?>
<table xmlns="http://schemas.openxmlformats.org/spreadsheetml/2006/main" ref="AD5:AD24" displayName="Tb_TipoLugar" name="Tb_TipoLugar" id="12">
  <tableColumns count="1">
    <tableColumn name="Tipo_Lugar" id="1"/>
  </tableColumns>
  <tableStyleInfo name="Listas-style 12" showColumnStripes="0" showFirstColumn="1" showLastColumn="1" showRowStripes="1"/>
</table>
</file>

<file path=xl/tables/table13.xml><?xml version="1.0" encoding="utf-8"?>
<table xmlns="http://schemas.openxmlformats.org/spreadsheetml/2006/main" ref="AF5:AF12" displayName="Tb_TipoInstalacion" name="Tb_TipoInstalacion" id="13">
  <tableColumns count="1">
    <tableColumn name="Tipo_Instalacion" id="1"/>
  </tableColumns>
  <tableStyleInfo name="Listas-style 13" showColumnStripes="0" showFirstColumn="1" showLastColumn="1" showRowStripes="1"/>
</table>
</file>

<file path=xl/tables/table14.xml><?xml version="1.0" encoding="utf-8"?>
<table xmlns="http://schemas.openxmlformats.org/spreadsheetml/2006/main" ref="AH5:AH22" displayName="Tb_Proteccion_N" name="Tb_Proteccion_N" id="14">
  <tableColumns count="1">
    <tableColumn name="Protección de la niñez" id="1"/>
  </tableColumns>
  <tableStyleInfo name="Lista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K16:K20" displayName="Table_11" name="Table_11" id="15">
  <tableColumns count="1">
    <tableColumn name="Column1" id="1"/>
  </tableColumns>
  <tableStyleInfo name="Listas-style 15" showColumnStripes="0" showFirstColumn="1" showLastColumn="1" showRowStripes="1"/>
</table>
</file>

<file path=xl/tables/table16.xml><?xml version="1.0" encoding="utf-8"?>
<table xmlns="http://schemas.openxmlformats.org/spreadsheetml/2006/main" ref="AF19:AF28" displayName="Tb_Programatico" name="Tb_Programatico" id="16">
  <tableColumns count="1">
    <tableColumn name="Programatico" id="1"/>
  </tableColumns>
  <tableStyleInfo name="Listas-style 16" showColumnStripes="0" showFirstColumn="1" showLastColumn="1" showRowStripes="1"/>
</table>
</file>

<file path=xl/tables/table17.xml><?xml version="1.0" encoding="utf-8"?>
<table xmlns="http://schemas.openxmlformats.org/spreadsheetml/2006/main" ref="AH26:AH33" displayName="Tb_Discapacidad" name="Tb_Discapacidad" id="17">
  <tableColumns count="1">
    <tableColumn name="Discapacidad" id="1"/>
  </tableColumns>
  <tableStyleInfo name="Lista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F33:AF39" displayName="Table_12" name="Table_12" id="18">
  <tableColumns count="1">
    <tableColumn name="Column1" id="1"/>
  </tableColumns>
  <tableStyleInfo name="Listas-style 18" showColumnStripes="0" showFirstColumn="1" showLastColumn="1" showRowStripes="1"/>
</table>
</file>

<file path=xl/tables/table19.xml><?xml version="1.0" encoding="utf-8"?>
<table xmlns="http://schemas.openxmlformats.org/spreadsheetml/2006/main" ref="B3:B27" displayName="Table_13" name="Table_13" id="19">
  <tableColumns count="1">
    <tableColumn name="Estados" id="1"/>
  </tableColumns>
  <tableStyleInfo name="Ubicaciones-style" showColumnStripes="0" showFirstColumn="1" showLastColumn="1" showRowStripes="1"/>
</table>
</file>

<file path=xl/tables/table20.xml><?xml version="1.0" encoding="utf-8"?>
<table xmlns="http://schemas.openxmlformats.org/spreadsheetml/2006/main" headerRowCount="0" ref="B71:H1206" displayName="Table_14" name="Table_14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bicacione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ref="A15:V19" displayName="Tabla_1" name="Tabla_1" id="21">
  <tableColumns count="22">
    <tableColumn name="Registro" id="1"/>
    <tableColumn name="Estado" id="2"/>
    <tableColumn name="Municipio" id="3"/>
    <tableColumn name="Parroquia" id="4"/>
    <tableColumn name="Tipo de Instalación" id="5"/>
    <tableColumn name="Nombre del lugar" id="6"/>
    <tableColumn name="Latitud" id="7"/>
    <tableColumn name="Longitud" id="8"/>
    <tableColumn name="Sector Programático" id="9"/>
    <tableColumn name="Actividad a reportar" id="10"/>
    <tableColumn name="Detalles adicionales de la actividad" id="11"/>
    <tableColumn name="Fecha atencion" id="12"/>
    <tableColumn name="Nombre y apellido" id="13"/>
    <tableColumn name="Edad" id="14"/>
    <tableColumn name="Sexo" id="15"/>
    <tableColumn name="Cedula" id="16"/>
    <tableColumn name="Telefono" id="17"/>
    <tableColumn name="Discapacidad" id="18"/>
    <tableColumn name="Indigena" id="19"/>
    <tableColumn name="Embarazada o lactante" id="20"/>
    <tableColumn name="Recurrente" id="21"/>
    <tableColumn name="Clave" id="22"/>
  </tableColumns>
  <tableStyleInfo name="Datos-style" showColumnStripes="0" showFirstColumn="1" showLastColumn="1" showRowStripes="1"/>
</table>
</file>

<file path=xl/tables/table22.xml><?xml version="1.0" encoding="utf-8"?>
<table xmlns="http://schemas.openxmlformats.org/spreadsheetml/2006/main" ref="A10:U14" displayName="Tabla_2" name="Tabla_2" id="22">
  <tableColumns count="21">
    <tableColumn name="Registro" id="1"/>
    <tableColumn name="Estado" id="2"/>
    <tableColumn name="Municipio" id="3"/>
    <tableColumn name="Parroquia" id="4"/>
    <tableColumn name="Tipo de Instalación" id="5"/>
    <tableColumn name="Nombre del lugar" id="6"/>
    <tableColumn name="Latitud" id="7"/>
    <tableColumn name="Longitud" id="8"/>
    <tableColumn name="Sector Programático" id="9"/>
    <tableColumn name="Actividad a reportar" id="10"/>
    <tableColumn name="Detalles adicionales de la actividad" id="11"/>
    <tableColumn name="Fecha atencion" id="12"/>
    <tableColumn name="Nombre y apellido" id="13"/>
    <tableColumn name="Edad" id="14"/>
    <tableColumn name="Sexo" id="15"/>
    <tableColumn name="Cedula" id="16"/>
    <tableColumn name="Telefono" id="17"/>
    <tableColumn name="Discapacidad" id="18"/>
    <tableColumn name="Indigena" id="19"/>
    <tableColumn name="Embarazada o lactante" id="20"/>
    <tableColumn name="Recurrente" id="21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" dT="2026-07-16T17:46:09.00" personId="{b196c310-cff0-465a-a8f6-6bcf3e720694}" id="{3d680390-367e-4c08-aac0-14252dbe1dda}" done="0">
    <x18tc:text xml:space="preserve">Doble click Calendario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1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e-eu.kobotoolbox.org/x/ofa0up0F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2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0.63"/>
    <col customWidth="1" min="3" max="3" width="33.5"/>
    <col customWidth="1" min="4" max="4" width="21.13"/>
    <col customWidth="1" min="5" max="5" width="52.38"/>
    <col customWidth="1" min="6" max="6" width="10.63"/>
    <col customWidth="1" min="7" max="7" width="29.63"/>
    <col customWidth="1" min="8" max="8" width="6.88"/>
    <col customWidth="1" min="9" max="9" width="25.5"/>
    <col customWidth="1" min="10" max="10" width="2.63"/>
    <col customWidth="1" min="11" max="11" width="25.5"/>
    <col customWidth="1" min="12" max="12" width="3.5"/>
    <col customWidth="1" min="13" max="13" width="20.38"/>
    <col customWidth="1" min="14" max="14" width="4.13"/>
    <col customWidth="1" min="15" max="16" width="25.5"/>
    <col customWidth="1" min="17" max="17" width="10.63"/>
    <col customWidth="1" min="18" max="18" width="12.88"/>
    <col customWidth="1" min="19" max="19" width="13.0"/>
    <col customWidth="1" min="20" max="20" width="13.63"/>
    <col customWidth="1" min="21" max="21" width="14.63"/>
    <col customWidth="1" min="22" max="22" width="27.63"/>
    <col customWidth="1" min="23" max="23" width="15.63"/>
    <col customWidth="1" min="24" max="24" width="15.0"/>
    <col customWidth="1" min="25" max="25" width="13.88"/>
    <col customWidth="1" min="26" max="26" width="15.88"/>
    <col customWidth="1" min="27" max="27" width="10.63"/>
    <col customWidth="1" min="28" max="28" width="138.75"/>
    <col customWidth="1" min="29" max="29" width="7.13"/>
    <col customWidth="1" min="30" max="30" width="52.75"/>
    <col customWidth="1" min="31" max="31" width="10.63"/>
    <col customWidth="1" min="32" max="32" width="45.13"/>
    <col customWidth="1" min="33" max="33" width="10.63"/>
    <col customWidth="1" min="34" max="34" width="37.63"/>
    <col customWidth="1" min="35" max="35" width="4.75"/>
    <col customWidth="1" min="36" max="36" width="19.63"/>
  </cols>
  <sheetData>
    <row r="1" ht="13.5" customHeight="1"/>
    <row r="2" ht="13.5" customHeight="1"/>
    <row r="3" ht="13.5" customHeight="1"/>
    <row r="4" ht="13.5" customHeight="1">
      <c r="AJ4" s="1" t="s">
        <v>0</v>
      </c>
    </row>
    <row r="5" ht="13.5" customHeight="1">
      <c r="A5" s="2" t="s">
        <v>1</v>
      </c>
      <c r="C5" s="3" t="s">
        <v>2</v>
      </c>
      <c r="E5" s="3" t="s">
        <v>3</v>
      </c>
      <c r="G5" s="3" t="s">
        <v>4</v>
      </c>
      <c r="H5" s="4"/>
      <c r="I5" s="3" t="s">
        <v>5</v>
      </c>
      <c r="J5" s="4"/>
      <c r="K5" s="5" t="s">
        <v>6</v>
      </c>
      <c r="L5" s="4"/>
      <c r="M5" s="5" t="s">
        <v>7</v>
      </c>
      <c r="N5" s="4"/>
      <c r="O5" s="3" t="s">
        <v>8</v>
      </c>
      <c r="P5" s="4"/>
      <c r="R5" s="6" t="s">
        <v>9</v>
      </c>
      <c r="S5" s="7" t="s">
        <v>10</v>
      </c>
      <c r="T5" s="6" t="s">
        <v>11</v>
      </c>
      <c r="U5" s="6" t="s">
        <v>12</v>
      </c>
      <c r="V5" s="8" t="s">
        <v>13</v>
      </c>
      <c r="W5" s="6" t="s">
        <v>14</v>
      </c>
      <c r="X5" s="9" t="s">
        <v>15</v>
      </c>
      <c r="Y5" s="10" t="s">
        <v>16</v>
      </c>
      <c r="Z5" s="9" t="s">
        <v>17</v>
      </c>
      <c r="AB5" s="11" t="s">
        <v>18</v>
      </c>
      <c r="AC5" s="12"/>
      <c r="AD5" s="13" t="s">
        <v>19</v>
      </c>
      <c r="AE5" s="14"/>
      <c r="AF5" s="13" t="s">
        <v>20</v>
      </c>
      <c r="AG5" s="14"/>
      <c r="AH5" s="1" t="s">
        <v>21</v>
      </c>
      <c r="AI5" s="15"/>
      <c r="AJ5" s="16" t="s">
        <v>22</v>
      </c>
    </row>
    <row r="6" ht="13.5" customHeight="1">
      <c r="A6" s="17" t="s">
        <v>23</v>
      </c>
      <c r="C6" s="17" t="s">
        <v>24</v>
      </c>
      <c r="E6" s="17" t="s">
        <v>25</v>
      </c>
      <c r="G6" s="17" t="s">
        <v>26</v>
      </c>
      <c r="I6" s="17" t="s">
        <v>27</v>
      </c>
      <c r="K6" s="17" t="s">
        <v>28</v>
      </c>
      <c r="M6" s="17" t="s">
        <v>29</v>
      </c>
      <c r="O6" s="17" t="s">
        <v>30</v>
      </c>
      <c r="R6" s="18" t="s">
        <v>31</v>
      </c>
      <c r="S6" s="19" t="s">
        <v>32</v>
      </c>
      <c r="T6" s="18" t="s">
        <v>31</v>
      </c>
      <c r="U6" s="18" t="s">
        <v>33</v>
      </c>
      <c r="V6" s="20" t="s">
        <v>34</v>
      </c>
      <c r="W6" s="18" t="s">
        <v>33</v>
      </c>
      <c r="X6" s="21" t="s">
        <v>35</v>
      </c>
      <c r="Y6" s="22" t="s">
        <v>36</v>
      </c>
      <c r="Z6" s="21" t="s">
        <v>35</v>
      </c>
      <c r="AB6" s="23" t="s">
        <v>37</v>
      </c>
      <c r="AC6" s="12"/>
      <c r="AD6" s="16" t="s">
        <v>38</v>
      </c>
      <c r="AE6" s="14"/>
      <c r="AF6" s="24" t="s">
        <v>39</v>
      </c>
      <c r="AH6" s="24" t="s">
        <v>40</v>
      </c>
      <c r="AI6" s="14"/>
      <c r="AJ6" s="16" t="s">
        <v>41</v>
      </c>
    </row>
    <row r="7" ht="13.5" customHeight="1">
      <c r="A7" s="17" t="s">
        <v>42</v>
      </c>
      <c r="C7" s="17" t="s">
        <v>43</v>
      </c>
      <c r="E7" s="17" t="s">
        <v>44</v>
      </c>
      <c r="G7" s="17" t="s">
        <v>45</v>
      </c>
      <c r="I7" s="17" t="s">
        <v>46</v>
      </c>
      <c r="K7" s="17" t="s">
        <v>47</v>
      </c>
      <c r="M7" s="17" t="s">
        <v>48</v>
      </c>
      <c r="O7" s="17" t="s">
        <v>49</v>
      </c>
      <c r="R7" s="21" t="s">
        <v>50</v>
      </c>
      <c r="S7" s="25" t="s">
        <v>51</v>
      </c>
      <c r="T7" s="21" t="s">
        <v>50</v>
      </c>
      <c r="U7" s="21" t="s">
        <v>52</v>
      </c>
      <c r="V7" s="22" t="s">
        <v>53</v>
      </c>
      <c r="W7" s="21" t="s">
        <v>52</v>
      </c>
      <c r="X7" s="21" t="s">
        <v>54</v>
      </c>
      <c r="Y7" s="22" t="s">
        <v>55</v>
      </c>
      <c r="Z7" s="21" t="s">
        <v>54</v>
      </c>
      <c r="AB7" s="26" t="s">
        <v>56</v>
      </c>
      <c r="AC7" s="12"/>
      <c r="AD7" s="16" t="s">
        <v>44</v>
      </c>
      <c r="AE7" s="14"/>
      <c r="AF7" s="24" t="s">
        <v>57</v>
      </c>
      <c r="AH7" s="24" t="s">
        <v>58</v>
      </c>
      <c r="AI7" s="14"/>
      <c r="AJ7" s="16" t="s">
        <v>59</v>
      </c>
    </row>
    <row r="8" ht="13.5" customHeight="1">
      <c r="A8" s="17" t="s">
        <v>60</v>
      </c>
      <c r="C8" s="17" t="s">
        <v>61</v>
      </c>
      <c r="E8" s="17" t="s">
        <v>62</v>
      </c>
      <c r="G8" s="17" t="s">
        <v>63</v>
      </c>
      <c r="K8" s="17"/>
      <c r="M8" s="17" t="s">
        <v>64</v>
      </c>
      <c r="O8" s="17" t="s">
        <v>65</v>
      </c>
      <c r="R8" s="21" t="s">
        <v>66</v>
      </c>
      <c r="S8" s="25" t="s">
        <v>67</v>
      </c>
      <c r="T8" s="21" t="s">
        <v>66</v>
      </c>
      <c r="U8" s="21" t="s">
        <v>68</v>
      </c>
      <c r="V8" s="22" t="s">
        <v>69</v>
      </c>
      <c r="W8" s="21" t="s">
        <v>68</v>
      </c>
      <c r="X8" s="21" t="s">
        <v>70</v>
      </c>
      <c r="Y8" s="22" t="s">
        <v>71</v>
      </c>
      <c r="Z8" s="21" t="s">
        <v>70</v>
      </c>
      <c r="AB8" s="26" t="s">
        <v>72</v>
      </c>
      <c r="AC8" s="12"/>
      <c r="AD8" s="16" t="s">
        <v>73</v>
      </c>
      <c r="AE8" s="14"/>
      <c r="AF8" s="24" t="s">
        <v>74</v>
      </c>
      <c r="AH8" s="24" t="s">
        <v>75</v>
      </c>
      <c r="AI8" s="14"/>
      <c r="AJ8" s="16" t="s">
        <v>76</v>
      </c>
    </row>
    <row r="9" ht="13.5" customHeight="1">
      <c r="A9" s="17" t="s">
        <v>77</v>
      </c>
      <c r="C9" s="17" t="s">
        <v>78</v>
      </c>
      <c r="E9" s="17" t="s">
        <v>79</v>
      </c>
      <c r="G9" s="17" t="s">
        <v>80</v>
      </c>
      <c r="K9" s="17"/>
      <c r="M9" s="17" t="s">
        <v>81</v>
      </c>
      <c r="O9" s="17" t="s">
        <v>82</v>
      </c>
      <c r="R9" s="21" t="s">
        <v>83</v>
      </c>
      <c r="S9" s="25" t="s">
        <v>84</v>
      </c>
      <c r="T9" s="21" t="s">
        <v>83</v>
      </c>
      <c r="U9" s="21" t="s">
        <v>85</v>
      </c>
      <c r="V9" s="22" t="s">
        <v>86</v>
      </c>
      <c r="W9" s="21" t="s">
        <v>85</v>
      </c>
      <c r="X9" s="21" t="s">
        <v>87</v>
      </c>
      <c r="Y9" s="22" t="s">
        <v>88</v>
      </c>
      <c r="Z9" s="21" t="s">
        <v>87</v>
      </c>
      <c r="AB9" s="26" t="s">
        <v>89</v>
      </c>
      <c r="AC9" s="12"/>
      <c r="AD9" s="16" t="s">
        <v>90</v>
      </c>
      <c r="AE9" s="14"/>
      <c r="AF9" s="24" t="s">
        <v>91</v>
      </c>
      <c r="AH9" s="24" t="s">
        <v>92</v>
      </c>
      <c r="AI9" s="14"/>
      <c r="AJ9" s="16" t="s">
        <v>93</v>
      </c>
    </row>
    <row r="10" ht="13.5" customHeight="1">
      <c r="A10" s="17" t="s">
        <v>94</v>
      </c>
      <c r="C10" s="17" t="s">
        <v>95</v>
      </c>
      <c r="E10" s="17" t="s">
        <v>96</v>
      </c>
      <c r="G10" s="17" t="s">
        <v>97</v>
      </c>
      <c r="K10" s="17"/>
      <c r="O10" s="17" t="s">
        <v>98</v>
      </c>
      <c r="R10" s="21" t="s">
        <v>99</v>
      </c>
      <c r="S10" s="25" t="s">
        <v>100</v>
      </c>
      <c r="T10" s="21" t="s">
        <v>99</v>
      </c>
      <c r="U10" s="21" t="s">
        <v>101</v>
      </c>
      <c r="V10" s="22" t="s">
        <v>102</v>
      </c>
      <c r="W10" s="21" t="s">
        <v>101</v>
      </c>
      <c r="X10" s="21" t="s">
        <v>103</v>
      </c>
      <c r="Y10" s="22" t="s">
        <v>104</v>
      </c>
      <c r="Z10" s="21" t="s">
        <v>103</v>
      </c>
      <c r="AB10" s="26" t="s">
        <v>105</v>
      </c>
      <c r="AC10" s="12"/>
      <c r="AD10" s="16" t="s">
        <v>106</v>
      </c>
      <c r="AE10" s="14"/>
      <c r="AF10" s="24" t="s">
        <v>107</v>
      </c>
      <c r="AH10" s="24" t="s">
        <v>108</v>
      </c>
      <c r="AI10" s="14"/>
      <c r="AJ10" s="16" t="s">
        <v>109</v>
      </c>
    </row>
    <row r="11" ht="13.5" customHeight="1">
      <c r="A11" s="17" t="s">
        <v>110</v>
      </c>
      <c r="C11" s="17" t="s">
        <v>111</v>
      </c>
      <c r="E11" s="17" t="s">
        <v>112</v>
      </c>
      <c r="G11" s="17" t="s">
        <v>113</v>
      </c>
      <c r="K11" s="17"/>
      <c r="O11" s="17" t="s">
        <v>114</v>
      </c>
      <c r="R11" s="21" t="s">
        <v>115</v>
      </c>
      <c r="S11" s="25" t="s">
        <v>116</v>
      </c>
      <c r="T11" s="21" t="s">
        <v>115</v>
      </c>
      <c r="U11" s="21" t="s">
        <v>117</v>
      </c>
      <c r="V11" s="22" t="s">
        <v>118</v>
      </c>
      <c r="W11" s="21" t="s">
        <v>117</v>
      </c>
      <c r="X11" s="21" t="s">
        <v>119</v>
      </c>
      <c r="Y11" s="22" t="s">
        <v>120</v>
      </c>
      <c r="Z11" s="21" t="s">
        <v>119</v>
      </c>
      <c r="AB11" s="26" t="s">
        <v>121</v>
      </c>
      <c r="AC11" s="12"/>
      <c r="AD11" s="16" t="s">
        <v>25</v>
      </c>
      <c r="AE11" s="14"/>
      <c r="AF11" s="24" t="s">
        <v>122</v>
      </c>
      <c r="AH11" s="24" t="s">
        <v>123</v>
      </c>
      <c r="AI11" s="14"/>
      <c r="AJ11" s="16" t="s">
        <v>124</v>
      </c>
    </row>
    <row r="12" ht="13.5" customHeight="1">
      <c r="A12" s="17" t="s">
        <v>125</v>
      </c>
      <c r="C12" s="17" t="s">
        <v>126</v>
      </c>
      <c r="E12" s="17" t="s">
        <v>73</v>
      </c>
      <c r="K12" s="17"/>
      <c r="O12" s="17" t="s">
        <v>127</v>
      </c>
      <c r="R12" s="21" t="s">
        <v>128</v>
      </c>
      <c r="S12" s="25" t="s">
        <v>129</v>
      </c>
      <c r="T12" s="21" t="s">
        <v>128</v>
      </c>
      <c r="U12" s="21" t="s">
        <v>130</v>
      </c>
      <c r="V12" s="22" t="s">
        <v>131</v>
      </c>
      <c r="W12" s="21" t="s">
        <v>130</v>
      </c>
      <c r="X12" s="21" t="s">
        <v>132</v>
      </c>
      <c r="Y12" s="22" t="s">
        <v>133</v>
      </c>
      <c r="Z12" s="21" t="s">
        <v>132</v>
      </c>
      <c r="AB12" s="26" t="s">
        <v>134</v>
      </c>
      <c r="AC12" s="12"/>
      <c r="AD12" s="16" t="s">
        <v>135</v>
      </c>
      <c r="AE12" s="14"/>
      <c r="AF12" s="24" t="s">
        <v>136</v>
      </c>
      <c r="AH12" s="24" t="s">
        <v>137</v>
      </c>
      <c r="AI12" s="14"/>
      <c r="AJ12" s="16" t="s">
        <v>138</v>
      </c>
    </row>
    <row r="13" ht="13.5" customHeight="1">
      <c r="A13" s="17" t="s">
        <v>139</v>
      </c>
      <c r="C13" s="17" t="s">
        <v>140</v>
      </c>
      <c r="E13" s="17" t="s">
        <v>141</v>
      </c>
      <c r="O13" s="17" t="s">
        <v>142</v>
      </c>
      <c r="R13" s="21" t="s">
        <v>143</v>
      </c>
      <c r="S13" s="25" t="s">
        <v>144</v>
      </c>
      <c r="T13" s="21" t="s">
        <v>143</v>
      </c>
      <c r="U13" s="21" t="s">
        <v>145</v>
      </c>
      <c r="V13" s="22" t="s">
        <v>146</v>
      </c>
      <c r="W13" s="21" t="s">
        <v>145</v>
      </c>
      <c r="X13" s="21" t="s">
        <v>147</v>
      </c>
      <c r="Y13" s="22" t="s">
        <v>148</v>
      </c>
      <c r="Z13" s="21" t="s">
        <v>147</v>
      </c>
      <c r="AB13" s="26" t="s">
        <v>149</v>
      </c>
      <c r="AC13" s="12"/>
      <c r="AD13" s="16" t="s">
        <v>150</v>
      </c>
      <c r="AE13" s="14"/>
      <c r="AF13" s="23"/>
      <c r="AH13" s="24" t="s">
        <v>151</v>
      </c>
      <c r="AI13" s="14"/>
      <c r="AJ13" s="16" t="s">
        <v>152</v>
      </c>
    </row>
    <row r="14" ht="13.5" customHeight="1">
      <c r="A14" s="17" t="s">
        <v>153</v>
      </c>
      <c r="C14" s="17" t="s">
        <v>154</v>
      </c>
      <c r="E14" s="17" t="s">
        <v>135</v>
      </c>
      <c r="O14" s="17" t="s">
        <v>155</v>
      </c>
      <c r="R14" s="21" t="s">
        <v>156</v>
      </c>
      <c r="S14" s="25" t="s">
        <v>157</v>
      </c>
      <c r="T14" s="21" t="s">
        <v>156</v>
      </c>
      <c r="U14" s="21" t="s">
        <v>158</v>
      </c>
      <c r="V14" s="22" t="s">
        <v>159</v>
      </c>
      <c r="W14" s="21" t="s">
        <v>158</v>
      </c>
      <c r="X14" s="21" t="s">
        <v>160</v>
      </c>
      <c r="Y14" s="22" t="s">
        <v>161</v>
      </c>
      <c r="Z14" s="21" t="s">
        <v>160</v>
      </c>
      <c r="AB14" s="26" t="s">
        <v>162</v>
      </c>
      <c r="AC14" s="12"/>
      <c r="AD14" s="16" t="s">
        <v>62</v>
      </c>
      <c r="AE14" s="14"/>
      <c r="AF14" s="23"/>
      <c r="AH14" s="24" t="s">
        <v>163</v>
      </c>
      <c r="AI14" s="14"/>
      <c r="AJ14" s="16" t="s">
        <v>164</v>
      </c>
    </row>
    <row r="15" ht="13.5" customHeight="1">
      <c r="A15" s="17" t="s">
        <v>165</v>
      </c>
      <c r="C15" s="17" t="s">
        <v>166</v>
      </c>
      <c r="E15" s="17" t="s">
        <v>90</v>
      </c>
      <c r="O15" s="17" t="s">
        <v>167</v>
      </c>
      <c r="R15" s="21" t="s">
        <v>168</v>
      </c>
      <c r="S15" s="25" t="s">
        <v>169</v>
      </c>
      <c r="T15" s="21" t="s">
        <v>168</v>
      </c>
      <c r="U15" s="21" t="s">
        <v>170</v>
      </c>
      <c r="V15" s="22" t="s">
        <v>100</v>
      </c>
      <c r="W15" s="21" t="s">
        <v>170</v>
      </c>
      <c r="X15" s="21" t="s">
        <v>171</v>
      </c>
      <c r="Y15" s="22" t="s">
        <v>172</v>
      </c>
      <c r="Z15" s="21" t="s">
        <v>171</v>
      </c>
      <c r="AB15" s="26" t="s">
        <v>173</v>
      </c>
      <c r="AC15" s="12"/>
      <c r="AD15" s="16" t="s">
        <v>96</v>
      </c>
      <c r="AE15" s="14"/>
      <c r="AF15" s="23"/>
      <c r="AH15" s="24" t="s">
        <v>174</v>
      </c>
      <c r="AI15" s="14"/>
      <c r="AJ15" s="16" t="s">
        <v>175</v>
      </c>
    </row>
    <row r="16" ht="13.5" customHeight="1">
      <c r="A16" s="17" t="s">
        <v>176</v>
      </c>
      <c r="C16" s="17" t="s">
        <v>177</v>
      </c>
      <c r="E16" s="17" t="s">
        <v>178</v>
      </c>
      <c r="K16" s="17" t="s">
        <v>179</v>
      </c>
      <c r="O16" s="17" t="s">
        <v>180</v>
      </c>
      <c r="R16" s="21" t="s">
        <v>181</v>
      </c>
      <c r="S16" s="25" t="s">
        <v>182</v>
      </c>
      <c r="T16" s="21" t="s">
        <v>181</v>
      </c>
      <c r="U16" s="21" t="s">
        <v>183</v>
      </c>
      <c r="V16" s="22" t="s">
        <v>184</v>
      </c>
      <c r="W16" s="21" t="s">
        <v>183</v>
      </c>
      <c r="X16" s="21" t="s">
        <v>185</v>
      </c>
      <c r="Y16" s="22" t="s">
        <v>186</v>
      </c>
      <c r="Z16" s="21" t="s">
        <v>185</v>
      </c>
      <c r="AB16" s="26" t="s">
        <v>187</v>
      </c>
      <c r="AC16" s="12"/>
      <c r="AD16" s="16" t="s">
        <v>79</v>
      </c>
      <c r="AE16" s="14"/>
      <c r="AF16" s="23"/>
      <c r="AH16" s="24" t="s">
        <v>188</v>
      </c>
      <c r="AI16" s="14"/>
      <c r="AJ16" s="16" t="s">
        <v>189</v>
      </c>
    </row>
    <row r="17" ht="13.5" customHeight="1">
      <c r="A17" s="17" t="s">
        <v>190</v>
      </c>
      <c r="C17" s="17" t="s">
        <v>191</v>
      </c>
      <c r="E17" s="17" t="s">
        <v>192</v>
      </c>
      <c r="K17" s="17" t="s">
        <v>193</v>
      </c>
      <c r="O17" s="17" t="s">
        <v>194</v>
      </c>
      <c r="R17" s="21" t="s">
        <v>195</v>
      </c>
      <c r="S17" s="25" t="s">
        <v>196</v>
      </c>
      <c r="T17" s="21" t="s">
        <v>195</v>
      </c>
      <c r="U17" s="21" t="s">
        <v>197</v>
      </c>
      <c r="V17" s="22" t="s">
        <v>198</v>
      </c>
      <c r="W17" s="21" t="s">
        <v>197</v>
      </c>
      <c r="X17" s="21" t="s">
        <v>199</v>
      </c>
      <c r="Y17" s="22" t="s">
        <v>200</v>
      </c>
      <c r="Z17" s="21" t="s">
        <v>199</v>
      </c>
      <c r="AB17" s="26" t="s">
        <v>201</v>
      </c>
      <c r="AC17" s="12"/>
      <c r="AD17" s="16" t="s">
        <v>202</v>
      </c>
      <c r="AE17" s="14"/>
      <c r="AF17" s="23"/>
      <c r="AH17" s="24" t="s">
        <v>203</v>
      </c>
      <c r="AI17" s="14"/>
      <c r="AJ17" s="16" t="s">
        <v>204</v>
      </c>
    </row>
    <row r="18" ht="13.5" customHeight="1">
      <c r="C18" s="17" t="s">
        <v>205</v>
      </c>
      <c r="E18" s="17" t="s">
        <v>150</v>
      </c>
      <c r="K18" s="17" t="s">
        <v>206</v>
      </c>
      <c r="O18" s="17" t="s">
        <v>207</v>
      </c>
      <c r="R18" s="21" t="s">
        <v>208</v>
      </c>
      <c r="S18" s="25" t="s">
        <v>209</v>
      </c>
      <c r="T18" s="21" t="s">
        <v>208</v>
      </c>
      <c r="U18" s="21" t="s">
        <v>210</v>
      </c>
      <c r="V18" s="22" t="s">
        <v>211</v>
      </c>
      <c r="W18" s="21" t="s">
        <v>210</v>
      </c>
      <c r="X18" s="21" t="s">
        <v>212</v>
      </c>
      <c r="Y18" s="22" t="s">
        <v>213</v>
      </c>
      <c r="Z18" s="21" t="s">
        <v>212</v>
      </c>
      <c r="AB18" s="26" t="s">
        <v>214</v>
      </c>
      <c r="AC18" s="12"/>
      <c r="AD18" s="16" t="s">
        <v>215</v>
      </c>
      <c r="AE18" s="14"/>
      <c r="AF18" s="23"/>
      <c r="AH18" s="24" t="s">
        <v>75</v>
      </c>
      <c r="AI18" s="14"/>
      <c r="AJ18" s="16" t="s">
        <v>216</v>
      </c>
    </row>
    <row r="19" ht="13.5" customHeight="1">
      <c r="C19" s="17" t="s">
        <v>217</v>
      </c>
      <c r="E19" s="17" t="s">
        <v>38</v>
      </c>
      <c r="K19" s="17" t="s">
        <v>218</v>
      </c>
      <c r="O19" s="17" t="s">
        <v>219</v>
      </c>
      <c r="R19" s="21" t="s">
        <v>220</v>
      </c>
      <c r="S19" s="25" t="s">
        <v>221</v>
      </c>
      <c r="T19" s="21" t="s">
        <v>220</v>
      </c>
      <c r="U19" s="21" t="s">
        <v>222</v>
      </c>
      <c r="V19" s="22" t="s">
        <v>223</v>
      </c>
      <c r="W19" s="21" t="s">
        <v>222</v>
      </c>
      <c r="X19" s="21" t="s">
        <v>224</v>
      </c>
      <c r="Y19" s="22" t="s">
        <v>225</v>
      </c>
      <c r="Z19" s="21" t="s">
        <v>224</v>
      </c>
      <c r="AB19" s="12"/>
      <c r="AC19" s="12"/>
      <c r="AD19" s="16" t="s">
        <v>178</v>
      </c>
      <c r="AE19" s="14"/>
      <c r="AF19" s="27" t="s">
        <v>226</v>
      </c>
      <c r="AH19" s="24" t="s">
        <v>227</v>
      </c>
      <c r="AI19" s="14"/>
      <c r="AJ19" s="16" t="s">
        <v>228</v>
      </c>
    </row>
    <row r="20" ht="13.5" customHeight="1">
      <c r="C20" s="17" t="s">
        <v>229</v>
      </c>
      <c r="E20" s="17" t="s">
        <v>215</v>
      </c>
      <c r="K20" s="17" t="s">
        <v>81</v>
      </c>
      <c r="O20" s="17" t="s">
        <v>230</v>
      </c>
      <c r="R20" s="21" t="s">
        <v>231</v>
      </c>
      <c r="S20" s="25" t="s">
        <v>232</v>
      </c>
      <c r="T20" s="21" t="s">
        <v>231</v>
      </c>
      <c r="U20" s="21" t="s">
        <v>233</v>
      </c>
      <c r="V20" s="22" t="s">
        <v>234</v>
      </c>
      <c r="W20" s="21" t="s">
        <v>233</v>
      </c>
      <c r="X20" s="21" t="s">
        <v>235</v>
      </c>
      <c r="Y20" s="22" t="s">
        <v>236</v>
      </c>
      <c r="Z20" s="21" t="s">
        <v>235</v>
      </c>
      <c r="AB20" s="12"/>
      <c r="AC20" s="12"/>
      <c r="AD20" s="16" t="s">
        <v>218</v>
      </c>
      <c r="AE20" s="14"/>
      <c r="AF20" s="24" t="s">
        <v>21</v>
      </c>
      <c r="AH20" s="24" t="s">
        <v>237</v>
      </c>
      <c r="AI20" s="14"/>
      <c r="AJ20" s="16" t="s">
        <v>238</v>
      </c>
    </row>
    <row r="21" ht="13.5" customHeight="1">
      <c r="C21" s="17" t="s">
        <v>239</v>
      </c>
      <c r="E21" s="17" t="s">
        <v>240</v>
      </c>
      <c r="O21" s="17" t="s">
        <v>241</v>
      </c>
      <c r="R21" s="21" t="s">
        <v>242</v>
      </c>
      <c r="S21" s="25" t="s">
        <v>243</v>
      </c>
      <c r="T21" s="21" t="s">
        <v>242</v>
      </c>
      <c r="U21" s="21" t="s">
        <v>244</v>
      </c>
      <c r="V21" s="22" t="s">
        <v>245</v>
      </c>
      <c r="W21" s="21" t="s">
        <v>244</v>
      </c>
      <c r="X21" s="21" t="s">
        <v>246</v>
      </c>
      <c r="Y21" s="22" t="s">
        <v>247</v>
      </c>
      <c r="Z21" s="21" t="s">
        <v>246</v>
      </c>
      <c r="AB21" s="12"/>
      <c r="AC21" s="12"/>
      <c r="AD21" s="16" t="s">
        <v>141</v>
      </c>
      <c r="AE21" s="14"/>
      <c r="AF21" s="24"/>
      <c r="AH21" s="24" t="s">
        <v>248</v>
      </c>
      <c r="AI21" s="14"/>
      <c r="AJ21" s="16" t="s">
        <v>249</v>
      </c>
    </row>
    <row r="22" ht="13.5" customHeight="1">
      <c r="C22" s="17" t="s">
        <v>250</v>
      </c>
      <c r="E22" s="17" t="s">
        <v>106</v>
      </c>
      <c r="O22" s="17" t="s">
        <v>251</v>
      </c>
      <c r="R22" s="21" t="s">
        <v>252</v>
      </c>
      <c r="S22" s="25" t="s">
        <v>253</v>
      </c>
      <c r="T22" s="21" t="s">
        <v>252</v>
      </c>
      <c r="U22" s="21" t="s">
        <v>254</v>
      </c>
      <c r="V22" s="22" t="s">
        <v>255</v>
      </c>
      <c r="W22" s="21" t="s">
        <v>254</v>
      </c>
      <c r="X22" s="21" t="s">
        <v>256</v>
      </c>
      <c r="Y22" s="22" t="s">
        <v>257</v>
      </c>
      <c r="Z22" s="21" t="s">
        <v>256</v>
      </c>
      <c r="AB22" s="12"/>
      <c r="AC22" s="12"/>
      <c r="AD22" s="16" t="s">
        <v>240</v>
      </c>
      <c r="AE22" s="14"/>
      <c r="AF22" s="24"/>
      <c r="AH22" s="24" t="s">
        <v>258</v>
      </c>
      <c r="AI22" s="14"/>
      <c r="AJ22" s="16" t="s">
        <v>259</v>
      </c>
    </row>
    <row r="23" ht="13.5" customHeight="1">
      <c r="C23" s="17" t="s">
        <v>260</v>
      </c>
      <c r="O23" s="17" t="s">
        <v>261</v>
      </c>
      <c r="R23" s="21" t="s">
        <v>262</v>
      </c>
      <c r="S23" s="25" t="s">
        <v>263</v>
      </c>
      <c r="T23" s="21" t="s">
        <v>262</v>
      </c>
      <c r="U23" s="21" t="s">
        <v>264</v>
      </c>
      <c r="V23" s="22" t="s">
        <v>265</v>
      </c>
      <c r="W23" s="21" t="s">
        <v>264</v>
      </c>
      <c r="X23" s="21" t="s">
        <v>266</v>
      </c>
      <c r="Y23" s="22" t="s">
        <v>267</v>
      </c>
      <c r="Z23" s="21" t="s">
        <v>266</v>
      </c>
      <c r="AB23" s="12"/>
      <c r="AC23" s="12"/>
      <c r="AD23" s="16" t="s">
        <v>192</v>
      </c>
      <c r="AE23" s="14"/>
      <c r="AF23" s="24"/>
      <c r="AH23" s="12"/>
      <c r="AI23" s="14"/>
      <c r="AJ23" s="16" t="s">
        <v>268</v>
      </c>
    </row>
    <row r="24" ht="13.5" customHeight="1">
      <c r="O24" s="17" t="s">
        <v>269</v>
      </c>
      <c r="R24" s="21" t="s">
        <v>270</v>
      </c>
      <c r="S24" s="25" t="s">
        <v>271</v>
      </c>
      <c r="T24" s="21" t="s">
        <v>270</v>
      </c>
      <c r="U24" s="21" t="s">
        <v>272</v>
      </c>
      <c r="V24" s="22" t="s">
        <v>273</v>
      </c>
      <c r="W24" s="21" t="s">
        <v>272</v>
      </c>
      <c r="X24" s="21" t="s">
        <v>274</v>
      </c>
      <c r="Y24" s="22" t="s">
        <v>275</v>
      </c>
      <c r="Z24" s="21" t="s">
        <v>274</v>
      </c>
      <c r="AB24" s="12"/>
      <c r="AC24" s="12"/>
      <c r="AD24" s="16" t="s">
        <v>276</v>
      </c>
      <c r="AE24" s="14"/>
      <c r="AF24" s="24"/>
      <c r="AH24" s="12"/>
      <c r="AI24" s="14"/>
      <c r="AJ24" s="16" t="s">
        <v>277</v>
      </c>
    </row>
    <row r="25" ht="13.5" customHeight="1">
      <c r="O25" s="17" t="s">
        <v>278</v>
      </c>
      <c r="R25" s="21" t="s">
        <v>279</v>
      </c>
      <c r="S25" s="25" t="s">
        <v>280</v>
      </c>
      <c r="T25" s="21" t="s">
        <v>279</v>
      </c>
      <c r="U25" s="21" t="s">
        <v>281</v>
      </c>
      <c r="V25" s="22" t="s">
        <v>282</v>
      </c>
      <c r="W25" s="21" t="s">
        <v>281</v>
      </c>
      <c r="X25" s="21" t="s">
        <v>283</v>
      </c>
      <c r="Y25" s="22" t="s">
        <v>284</v>
      </c>
      <c r="Z25" s="21" t="s">
        <v>283</v>
      </c>
      <c r="AB25" s="12"/>
      <c r="AC25" s="12"/>
      <c r="AF25" s="24"/>
      <c r="AI25" s="28"/>
      <c r="AJ25" s="16" t="s">
        <v>285</v>
      </c>
    </row>
    <row r="26" ht="13.5" customHeight="1">
      <c r="O26" s="17" t="s">
        <v>286</v>
      </c>
      <c r="R26" s="21" t="s">
        <v>287</v>
      </c>
      <c r="S26" s="25" t="s">
        <v>288</v>
      </c>
      <c r="T26" s="21" t="s">
        <v>287</v>
      </c>
      <c r="U26" s="21" t="s">
        <v>289</v>
      </c>
      <c r="V26" s="22" t="s">
        <v>290</v>
      </c>
      <c r="W26" s="21" t="s">
        <v>289</v>
      </c>
      <c r="X26" s="21" t="s">
        <v>291</v>
      </c>
      <c r="Y26" s="22" t="s">
        <v>271</v>
      </c>
      <c r="Z26" s="21" t="s">
        <v>291</v>
      </c>
      <c r="AB26" s="12"/>
      <c r="AC26" s="12"/>
      <c r="AF26" s="24"/>
      <c r="AH26" s="13" t="s">
        <v>292</v>
      </c>
      <c r="AJ26" s="16" t="s">
        <v>293</v>
      </c>
    </row>
    <row r="27" ht="13.5" customHeight="1">
      <c r="R27" s="21" t="s">
        <v>294</v>
      </c>
      <c r="S27" s="25" t="s">
        <v>295</v>
      </c>
      <c r="T27" s="21" t="s">
        <v>294</v>
      </c>
      <c r="U27" s="21" t="s">
        <v>296</v>
      </c>
      <c r="V27" s="22" t="s">
        <v>297</v>
      </c>
      <c r="W27" s="21" t="s">
        <v>296</v>
      </c>
      <c r="X27" s="21" t="s">
        <v>298</v>
      </c>
      <c r="Y27" s="22" t="s">
        <v>299</v>
      </c>
      <c r="Z27" s="21" t="s">
        <v>298</v>
      </c>
      <c r="AB27" s="12"/>
      <c r="AC27" s="12"/>
      <c r="AF27" s="24"/>
      <c r="AH27" s="16" t="s">
        <v>22</v>
      </c>
      <c r="AJ27" s="16" t="s">
        <v>300</v>
      </c>
    </row>
    <row r="28" ht="13.5" customHeight="1">
      <c r="R28" s="21" t="s">
        <v>301</v>
      </c>
      <c r="S28" s="25" t="s">
        <v>302</v>
      </c>
      <c r="T28" s="21" t="s">
        <v>301</v>
      </c>
      <c r="U28" s="21" t="s">
        <v>303</v>
      </c>
      <c r="V28" s="22" t="s">
        <v>304</v>
      </c>
      <c r="W28" s="21" t="s">
        <v>303</v>
      </c>
      <c r="X28" s="21" t="s">
        <v>305</v>
      </c>
      <c r="Y28" s="22" t="s">
        <v>306</v>
      </c>
      <c r="Z28" s="21" t="s">
        <v>305</v>
      </c>
      <c r="AB28" s="12"/>
      <c r="AC28" s="12"/>
      <c r="AF28" s="24"/>
      <c r="AH28" s="16" t="s">
        <v>307</v>
      </c>
      <c r="AJ28" s="16" t="s">
        <v>308</v>
      </c>
    </row>
    <row r="29" ht="13.5" customHeight="1">
      <c r="R29" s="29" t="s">
        <v>309</v>
      </c>
      <c r="S29" s="30" t="s">
        <v>310</v>
      </c>
      <c r="T29" s="29" t="s">
        <v>309</v>
      </c>
      <c r="U29" s="29" t="s">
        <v>311</v>
      </c>
      <c r="V29" s="31" t="s">
        <v>312</v>
      </c>
      <c r="W29" s="29" t="s">
        <v>311</v>
      </c>
      <c r="X29" s="29" t="s">
        <v>313</v>
      </c>
      <c r="Y29" s="31" t="s">
        <v>314</v>
      </c>
      <c r="Z29" s="29" t="s">
        <v>313</v>
      </c>
      <c r="AB29" s="12"/>
      <c r="AC29" s="12"/>
      <c r="AH29" s="16" t="s">
        <v>315</v>
      </c>
      <c r="AJ29" s="16" t="s">
        <v>316</v>
      </c>
    </row>
    <row r="30" ht="13.5" customHeight="1">
      <c r="R30" s="32"/>
      <c r="S30" s="14"/>
      <c r="T30" s="32"/>
      <c r="U30" s="33" t="s">
        <v>317</v>
      </c>
      <c r="V30" s="12" t="s">
        <v>318</v>
      </c>
      <c r="W30" s="33" t="s">
        <v>317</v>
      </c>
      <c r="X30" s="33" t="s">
        <v>319</v>
      </c>
      <c r="Y30" s="12" t="s">
        <v>320</v>
      </c>
      <c r="Z30" s="33" t="s">
        <v>319</v>
      </c>
      <c r="AB30" s="12"/>
      <c r="AC30" s="12"/>
      <c r="AH30" s="16" t="s">
        <v>321</v>
      </c>
      <c r="AJ30" s="16" t="s">
        <v>322</v>
      </c>
    </row>
    <row r="31" ht="13.5" customHeight="1">
      <c r="R31" s="32"/>
      <c r="S31" s="14"/>
      <c r="T31" s="32"/>
      <c r="U31" s="33" t="s">
        <v>323</v>
      </c>
      <c r="V31" s="12" t="s">
        <v>324</v>
      </c>
      <c r="W31" s="33" t="s">
        <v>323</v>
      </c>
      <c r="X31" s="33" t="s">
        <v>325</v>
      </c>
      <c r="Y31" s="12" t="s">
        <v>326</v>
      </c>
      <c r="Z31" s="33" t="s">
        <v>325</v>
      </c>
      <c r="AB31" s="12"/>
      <c r="AC31" s="12"/>
      <c r="AH31" s="16" t="s">
        <v>327</v>
      </c>
      <c r="AJ31" s="16" t="s">
        <v>328</v>
      </c>
    </row>
    <row r="32" ht="13.5" customHeight="1">
      <c r="R32" s="32"/>
      <c r="S32" s="14"/>
      <c r="T32" s="32"/>
      <c r="U32" s="33" t="s">
        <v>329</v>
      </c>
      <c r="V32" s="12" t="s">
        <v>330</v>
      </c>
      <c r="W32" s="33" t="s">
        <v>329</v>
      </c>
      <c r="X32" s="33" t="s">
        <v>331</v>
      </c>
      <c r="Y32" s="12" t="s">
        <v>332</v>
      </c>
      <c r="Z32" s="33" t="s">
        <v>331</v>
      </c>
      <c r="AB32" s="12"/>
      <c r="AC32" s="12"/>
      <c r="AF32" s="15" t="s">
        <v>333</v>
      </c>
      <c r="AH32" s="16" t="s">
        <v>334</v>
      </c>
      <c r="AJ32" s="16" t="s">
        <v>335</v>
      </c>
    </row>
    <row r="33" ht="13.5" customHeight="1">
      <c r="R33" s="32"/>
      <c r="S33" s="14"/>
      <c r="T33" s="32"/>
      <c r="U33" s="33" t="s">
        <v>336</v>
      </c>
      <c r="V33" s="12" t="s">
        <v>337</v>
      </c>
      <c r="W33" s="33" t="s">
        <v>336</v>
      </c>
      <c r="X33" s="33" t="s">
        <v>338</v>
      </c>
      <c r="Y33" s="12" t="s">
        <v>339</v>
      </c>
      <c r="Z33" s="33" t="s">
        <v>338</v>
      </c>
      <c r="AB33" s="34"/>
      <c r="AC33" s="12"/>
      <c r="AF33" s="15" t="s">
        <v>140</v>
      </c>
      <c r="AH33" s="16" t="s">
        <v>340</v>
      </c>
      <c r="AJ33" s="16" t="s">
        <v>341</v>
      </c>
    </row>
    <row r="34" ht="13.5" customHeight="1">
      <c r="R34" s="32"/>
      <c r="S34" s="14"/>
      <c r="T34" s="32"/>
      <c r="U34" s="33" t="s">
        <v>342</v>
      </c>
      <c r="V34" s="12" t="s">
        <v>343</v>
      </c>
      <c r="W34" s="33" t="s">
        <v>342</v>
      </c>
      <c r="X34" s="33" t="s">
        <v>344</v>
      </c>
      <c r="Y34" s="12" t="s">
        <v>345</v>
      </c>
      <c r="Z34" s="33" t="s">
        <v>344</v>
      </c>
      <c r="AF34" s="15" t="s">
        <v>111</v>
      </c>
      <c r="AJ34" s="16" t="s">
        <v>346</v>
      </c>
    </row>
    <row r="35" ht="13.5" customHeight="1">
      <c r="R35" s="32"/>
      <c r="S35" s="14"/>
      <c r="T35" s="32"/>
      <c r="U35" s="33" t="s">
        <v>347</v>
      </c>
      <c r="V35" s="12" t="s">
        <v>348</v>
      </c>
      <c r="W35" s="33" t="s">
        <v>347</v>
      </c>
      <c r="X35" s="33" t="s">
        <v>349</v>
      </c>
      <c r="Y35" s="12" t="s">
        <v>350</v>
      </c>
      <c r="Z35" s="33" t="s">
        <v>349</v>
      </c>
      <c r="AF35" s="15" t="s">
        <v>205</v>
      </c>
      <c r="AJ35" s="16" t="s">
        <v>351</v>
      </c>
    </row>
    <row r="36" ht="13.5" customHeight="1">
      <c r="R36" s="32"/>
      <c r="S36" s="14"/>
      <c r="T36" s="32"/>
      <c r="U36" s="33" t="s">
        <v>352</v>
      </c>
      <c r="V36" s="12" t="s">
        <v>353</v>
      </c>
      <c r="W36" s="33" t="s">
        <v>352</v>
      </c>
      <c r="X36" s="33" t="s">
        <v>354</v>
      </c>
      <c r="Y36" s="12" t="s">
        <v>355</v>
      </c>
      <c r="Z36" s="33" t="s">
        <v>354</v>
      </c>
      <c r="AF36" s="15" t="s">
        <v>356</v>
      </c>
      <c r="AJ36" s="16" t="s">
        <v>357</v>
      </c>
    </row>
    <row r="37" ht="13.5" customHeight="1">
      <c r="R37" s="32"/>
      <c r="S37" s="14"/>
      <c r="T37" s="32"/>
      <c r="U37" s="33" t="s">
        <v>358</v>
      </c>
      <c r="V37" s="12" t="s">
        <v>359</v>
      </c>
      <c r="W37" s="33" t="s">
        <v>358</v>
      </c>
      <c r="X37" s="33" t="s">
        <v>360</v>
      </c>
      <c r="Y37" s="12" t="s">
        <v>361</v>
      </c>
      <c r="Z37" s="33" t="s">
        <v>360</v>
      </c>
      <c r="AF37" s="15" t="s">
        <v>362</v>
      </c>
      <c r="AJ37" s="16" t="s">
        <v>363</v>
      </c>
    </row>
    <row r="38" ht="13.5" customHeight="1">
      <c r="R38" s="32"/>
      <c r="S38" s="14"/>
      <c r="T38" s="32"/>
      <c r="U38" s="33" t="s">
        <v>364</v>
      </c>
      <c r="V38" s="12" t="s">
        <v>365</v>
      </c>
      <c r="W38" s="33" t="s">
        <v>364</v>
      </c>
      <c r="X38" s="33" t="s">
        <v>366</v>
      </c>
      <c r="Y38" s="12" t="s">
        <v>367</v>
      </c>
      <c r="Z38" s="33" t="s">
        <v>366</v>
      </c>
      <c r="AF38" s="15" t="s">
        <v>368</v>
      </c>
      <c r="AJ38" s="16" t="s">
        <v>369</v>
      </c>
    </row>
    <row r="39" ht="13.5" customHeight="1">
      <c r="R39" s="32"/>
      <c r="S39" s="14"/>
      <c r="T39" s="32"/>
      <c r="U39" s="33" t="s">
        <v>370</v>
      </c>
      <c r="V39" s="12" t="s">
        <v>371</v>
      </c>
      <c r="W39" s="33" t="s">
        <v>370</v>
      </c>
      <c r="X39" s="33" t="s">
        <v>372</v>
      </c>
      <c r="Y39" s="12" t="s">
        <v>373</v>
      </c>
      <c r="Z39" s="33" t="s">
        <v>372</v>
      </c>
      <c r="AF39" s="15" t="s">
        <v>374</v>
      </c>
      <c r="AJ39" s="16" t="s">
        <v>375</v>
      </c>
    </row>
    <row r="40" ht="13.5" customHeight="1">
      <c r="R40" s="32"/>
      <c r="S40" s="14"/>
      <c r="T40" s="32"/>
      <c r="U40" s="33" t="s">
        <v>376</v>
      </c>
      <c r="V40" s="12" t="s">
        <v>377</v>
      </c>
      <c r="W40" s="33" t="s">
        <v>376</v>
      </c>
      <c r="X40" s="33" t="s">
        <v>378</v>
      </c>
      <c r="Y40" s="12" t="s">
        <v>379</v>
      </c>
      <c r="Z40" s="33" t="s">
        <v>378</v>
      </c>
    </row>
    <row r="41" ht="13.5" customHeight="1">
      <c r="R41" s="32"/>
      <c r="S41" s="14"/>
      <c r="T41" s="32"/>
      <c r="U41" s="33" t="s">
        <v>380</v>
      </c>
      <c r="V41" s="12" t="s">
        <v>381</v>
      </c>
      <c r="W41" s="33" t="s">
        <v>380</v>
      </c>
      <c r="X41" s="33" t="s">
        <v>382</v>
      </c>
      <c r="Y41" s="12" t="s">
        <v>383</v>
      </c>
      <c r="Z41" s="33" t="s">
        <v>382</v>
      </c>
    </row>
    <row r="42" ht="13.5" customHeight="1">
      <c r="R42" s="32"/>
      <c r="S42" s="14"/>
      <c r="T42" s="32"/>
      <c r="U42" s="33" t="s">
        <v>384</v>
      </c>
      <c r="V42" s="12" t="s">
        <v>129</v>
      </c>
      <c r="W42" s="33" t="s">
        <v>384</v>
      </c>
      <c r="X42" s="33" t="s">
        <v>385</v>
      </c>
      <c r="Y42" s="12" t="s">
        <v>386</v>
      </c>
      <c r="Z42" s="33" t="s">
        <v>385</v>
      </c>
    </row>
    <row r="43" ht="13.5" customHeight="1">
      <c r="R43" s="32"/>
      <c r="S43" s="14"/>
      <c r="T43" s="32"/>
      <c r="U43" s="33" t="s">
        <v>387</v>
      </c>
      <c r="V43" s="12" t="s">
        <v>388</v>
      </c>
      <c r="W43" s="33" t="s">
        <v>387</v>
      </c>
      <c r="X43" s="33" t="s">
        <v>389</v>
      </c>
      <c r="Y43" s="12" t="s">
        <v>390</v>
      </c>
      <c r="Z43" s="33" t="s">
        <v>389</v>
      </c>
    </row>
    <row r="44" ht="13.5" customHeight="1">
      <c r="R44" s="32"/>
      <c r="S44" s="14"/>
      <c r="T44" s="32"/>
      <c r="U44" s="33" t="s">
        <v>391</v>
      </c>
      <c r="V44" s="12" t="s">
        <v>392</v>
      </c>
      <c r="W44" s="33" t="s">
        <v>391</v>
      </c>
      <c r="X44" s="33" t="s">
        <v>393</v>
      </c>
      <c r="Y44" s="12" t="s">
        <v>25</v>
      </c>
      <c r="Z44" s="33" t="s">
        <v>393</v>
      </c>
    </row>
    <row r="45" ht="13.5" customHeight="1">
      <c r="R45" s="32"/>
      <c r="S45" s="14"/>
      <c r="T45" s="32"/>
      <c r="U45" s="33" t="s">
        <v>394</v>
      </c>
      <c r="V45" s="12" t="s">
        <v>395</v>
      </c>
      <c r="W45" s="33" t="s">
        <v>394</v>
      </c>
      <c r="X45" s="33" t="s">
        <v>396</v>
      </c>
      <c r="Y45" s="12" t="s">
        <v>397</v>
      </c>
      <c r="Z45" s="33" t="s">
        <v>396</v>
      </c>
    </row>
    <row r="46" ht="13.5" customHeight="1">
      <c r="R46" s="32"/>
      <c r="S46" s="14"/>
      <c r="T46" s="32"/>
      <c r="U46" s="33" t="s">
        <v>398</v>
      </c>
      <c r="V46" s="12" t="s">
        <v>399</v>
      </c>
      <c r="W46" s="33" t="s">
        <v>398</v>
      </c>
      <c r="X46" s="33" t="s">
        <v>400</v>
      </c>
      <c r="Y46" s="12" t="s">
        <v>401</v>
      </c>
      <c r="Z46" s="33" t="s">
        <v>400</v>
      </c>
    </row>
    <row r="47" ht="13.5" customHeight="1">
      <c r="R47" s="32"/>
      <c r="S47" s="14"/>
      <c r="T47" s="32"/>
      <c r="U47" s="33" t="s">
        <v>402</v>
      </c>
      <c r="V47" s="12" t="s">
        <v>403</v>
      </c>
      <c r="W47" s="33" t="s">
        <v>402</v>
      </c>
      <c r="X47" s="33" t="s">
        <v>404</v>
      </c>
      <c r="Y47" s="12" t="s">
        <v>405</v>
      </c>
      <c r="Z47" s="33" t="s">
        <v>404</v>
      </c>
    </row>
    <row r="48" ht="13.5" customHeight="1">
      <c r="R48" s="32"/>
      <c r="S48" s="14"/>
      <c r="T48" s="32"/>
      <c r="U48" s="33" t="s">
        <v>406</v>
      </c>
      <c r="V48" s="12" t="s">
        <v>34</v>
      </c>
      <c r="W48" s="33" t="s">
        <v>406</v>
      </c>
      <c r="X48" s="33" t="s">
        <v>407</v>
      </c>
      <c r="Y48" s="12" t="s">
        <v>408</v>
      </c>
      <c r="Z48" s="33" t="s">
        <v>407</v>
      </c>
    </row>
    <row r="49" ht="13.5" customHeight="1">
      <c r="R49" s="32"/>
      <c r="S49" s="14"/>
      <c r="T49" s="32"/>
      <c r="U49" s="33" t="s">
        <v>409</v>
      </c>
      <c r="V49" s="12" t="s">
        <v>410</v>
      </c>
      <c r="W49" s="33" t="s">
        <v>409</v>
      </c>
      <c r="X49" s="33" t="s">
        <v>411</v>
      </c>
      <c r="Y49" s="12" t="s">
        <v>412</v>
      </c>
      <c r="Z49" s="33" t="s">
        <v>411</v>
      </c>
    </row>
    <row r="50" ht="13.5" customHeight="1">
      <c r="R50" s="32"/>
      <c r="S50" s="14"/>
      <c r="T50" s="32"/>
      <c r="U50" s="33" t="s">
        <v>413</v>
      </c>
      <c r="V50" s="12" t="s">
        <v>414</v>
      </c>
      <c r="W50" s="33" t="s">
        <v>413</v>
      </c>
      <c r="X50" s="33" t="s">
        <v>415</v>
      </c>
      <c r="Y50" s="12" t="s">
        <v>416</v>
      </c>
      <c r="Z50" s="33" t="s">
        <v>415</v>
      </c>
    </row>
    <row r="51" ht="13.5" customHeight="1">
      <c r="R51" s="32"/>
      <c r="S51" s="14"/>
      <c r="T51" s="32"/>
      <c r="U51" s="33" t="s">
        <v>417</v>
      </c>
      <c r="V51" s="12" t="s">
        <v>418</v>
      </c>
      <c r="W51" s="33" t="s">
        <v>417</v>
      </c>
      <c r="X51" s="33" t="s">
        <v>419</v>
      </c>
      <c r="Y51" s="12" t="s">
        <v>159</v>
      </c>
      <c r="Z51" s="33" t="s">
        <v>419</v>
      </c>
    </row>
    <row r="52" ht="13.5" customHeight="1">
      <c r="R52" s="32"/>
      <c r="S52" s="14"/>
      <c r="T52" s="32"/>
      <c r="U52" s="33" t="s">
        <v>420</v>
      </c>
      <c r="V52" s="12" t="s">
        <v>421</v>
      </c>
      <c r="W52" s="33" t="s">
        <v>420</v>
      </c>
      <c r="X52" s="33" t="s">
        <v>422</v>
      </c>
      <c r="Y52" s="12" t="s">
        <v>423</v>
      </c>
      <c r="Z52" s="33" t="s">
        <v>422</v>
      </c>
    </row>
    <row r="53" ht="13.5" customHeight="1">
      <c r="R53" s="32"/>
      <c r="S53" s="14"/>
      <c r="T53" s="32"/>
      <c r="U53" s="33" t="s">
        <v>424</v>
      </c>
      <c r="V53" s="12" t="s">
        <v>425</v>
      </c>
      <c r="W53" s="33" t="s">
        <v>424</v>
      </c>
      <c r="X53" s="33" t="s">
        <v>426</v>
      </c>
      <c r="Y53" s="12" t="s">
        <v>100</v>
      </c>
      <c r="Z53" s="33" t="s">
        <v>426</v>
      </c>
    </row>
    <row r="54" ht="13.5" customHeight="1">
      <c r="R54" s="32"/>
      <c r="S54" s="14"/>
      <c r="T54" s="32"/>
      <c r="U54" s="33" t="s">
        <v>427</v>
      </c>
      <c r="V54" s="12" t="s">
        <v>271</v>
      </c>
      <c r="W54" s="33" t="s">
        <v>427</v>
      </c>
      <c r="X54" s="33" t="s">
        <v>428</v>
      </c>
      <c r="Y54" s="12" t="s">
        <v>429</v>
      </c>
      <c r="Z54" s="33" t="s">
        <v>428</v>
      </c>
    </row>
    <row r="55" ht="13.5" customHeight="1">
      <c r="R55" s="32"/>
      <c r="S55" s="14"/>
      <c r="T55" s="32"/>
      <c r="U55" s="33" t="s">
        <v>430</v>
      </c>
      <c r="V55" s="12" t="s">
        <v>431</v>
      </c>
      <c r="W55" s="33" t="s">
        <v>430</v>
      </c>
      <c r="X55" s="33" t="s">
        <v>432</v>
      </c>
      <c r="Y55" s="12" t="s">
        <v>184</v>
      </c>
      <c r="Z55" s="33" t="s">
        <v>432</v>
      </c>
    </row>
    <row r="56" ht="13.5" customHeight="1">
      <c r="R56" s="32"/>
      <c r="S56" s="14"/>
      <c r="T56" s="32"/>
      <c r="U56" s="33" t="s">
        <v>433</v>
      </c>
      <c r="V56" s="12" t="s">
        <v>434</v>
      </c>
      <c r="W56" s="33" t="s">
        <v>433</v>
      </c>
      <c r="X56" s="33" t="s">
        <v>435</v>
      </c>
      <c r="Y56" s="12" t="s">
        <v>436</v>
      </c>
      <c r="Z56" s="33" t="s">
        <v>435</v>
      </c>
    </row>
    <row r="57" ht="13.5" customHeight="1">
      <c r="R57" s="32"/>
      <c r="S57" s="14"/>
      <c r="T57" s="32"/>
      <c r="U57" s="33" t="s">
        <v>437</v>
      </c>
      <c r="V57" s="12" t="s">
        <v>438</v>
      </c>
      <c r="W57" s="33" t="s">
        <v>437</v>
      </c>
      <c r="X57" s="33" t="s">
        <v>439</v>
      </c>
      <c r="Y57" s="12" t="s">
        <v>271</v>
      </c>
      <c r="Z57" s="33" t="s">
        <v>439</v>
      </c>
    </row>
    <row r="58" ht="13.5" customHeight="1">
      <c r="R58" s="32"/>
      <c r="S58" s="14"/>
      <c r="T58" s="32"/>
      <c r="U58" s="33" t="s">
        <v>440</v>
      </c>
      <c r="V58" s="12" t="s">
        <v>441</v>
      </c>
      <c r="W58" s="33" t="s">
        <v>440</v>
      </c>
      <c r="X58" s="33" t="s">
        <v>442</v>
      </c>
      <c r="Y58" s="12" t="s">
        <v>443</v>
      </c>
      <c r="Z58" s="33" t="s">
        <v>442</v>
      </c>
    </row>
    <row r="59" ht="13.5" customHeight="1">
      <c r="R59" s="32"/>
      <c r="S59" s="14"/>
      <c r="T59" s="32"/>
      <c r="U59" s="33" t="s">
        <v>444</v>
      </c>
      <c r="V59" s="12" t="s">
        <v>445</v>
      </c>
      <c r="W59" s="33" t="s">
        <v>444</v>
      </c>
      <c r="X59" s="33" t="s">
        <v>446</v>
      </c>
      <c r="Y59" s="12" t="s">
        <v>447</v>
      </c>
      <c r="Z59" s="33" t="s">
        <v>446</v>
      </c>
    </row>
    <row r="60" ht="13.5" customHeight="1">
      <c r="R60" s="32"/>
      <c r="S60" s="14"/>
      <c r="T60" s="32"/>
      <c r="U60" s="33" t="s">
        <v>448</v>
      </c>
      <c r="V60" s="12" t="s">
        <v>449</v>
      </c>
      <c r="W60" s="33" t="s">
        <v>448</v>
      </c>
      <c r="X60" s="33" t="s">
        <v>450</v>
      </c>
      <c r="Y60" s="12" t="s">
        <v>211</v>
      </c>
      <c r="Z60" s="33" t="s">
        <v>450</v>
      </c>
    </row>
  </sheetData>
  <printOptions/>
  <pageMargins bottom="0.75" footer="0.0" header="0.0" left="0.7" right="0.7" top="0.75"/>
  <pageSetup orientation="landscape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63"/>
    <col customWidth="1" min="3" max="3" width="10.63"/>
    <col customWidth="1" min="4" max="9" width="11.0"/>
    <col customWidth="1" min="10" max="10" width="40.75"/>
    <col customWidth="1" min="11" max="18" width="11.0"/>
    <col customWidth="1" min="19" max="19" width="23.38"/>
    <col customWidth="1" min="20" max="20" width="18.5"/>
    <col customWidth="1" min="21" max="21" width="11.0"/>
  </cols>
  <sheetData>
    <row r="1" ht="13.5" customHeight="1">
      <c r="A1" s="35" t="s">
        <v>451</v>
      </c>
    </row>
    <row r="2" ht="13.5" customHeight="1">
      <c r="A2" s="35"/>
    </row>
    <row r="3" ht="13.5" customHeight="1">
      <c r="B3" s="36" t="s">
        <v>452</v>
      </c>
    </row>
    <row r="4" ht="13.5" customHeight="1">
      <c r="B4" s="37" t="s">
        <v>32</v>
      </c>
    </row>
    <row r="5" ht="13.5" customHeight="1">
      <c r="B5" s="37" t="s">
        <v>51</v>
      </c>
    </row>
    <row r="6" ht="13.5" customHeight="1">
      <c r="B6" s="38" t="s">
        <v>67</v>
      </c>
    </row>
    <row r="7" ht="13.5" customHeight="1">
      <c r="B7" s="38" t="s">
        <v>84</v>
      </c>
    </row>
    <row r="8" ht="13.5" customHeight="1">
      <c r="B8" s="38" t="s">
        <v>100</v>
      </c>
    </row>
    <row r="9" ht="13.5" customHeight="1">
      <c r="B9" s="38" t="s">
        <v>116</v>
      </c>
    </row>
    <row r="10" ht="13.5" customHeight="1">
      <c r="B10" s="38" t="s">
        <v>129</v>
      </c>
    </row>
    <row r="11" ht="13.5" customHeight="1">
      <c r="B11" s="37" t="s">
        <v>144</v>
      </c>
    </row>
    <row r="12" ht="13.5" customHeight="1">
      <c r="B12" s="37" t="s">
        <v>157</v>
      </c>
    </row>
    <row r="13" ht="13.5" customHeight="1">
      <c r="B13" s="38" t="s">
        <v>169</v>
      </c>
    </row>
    <row r="14" ht="13.5" customHeight="1">
      <c r="B14" s="37" t="s">
        <v>182</v>
      </c>
    </row>
    <row r="15" ht="13.5" customHeight="1">
      <c r="B15" s="38" t="s">
        <v>196</v>
      </c>
    </row>
    <row r="16" ht="13.5" customHeight="1">
      <c r="B16" s="37" t="s">
        <v>209</v>
      </c>
    </row>
    <row r="17" ht="13.5" customHeight="1">
      <c r="B17" s="38" t="s">
        <v>221</v>
      </c>
    </row>
    <row r="18" ht="13.5" customHeight="1">
      <c r="B18" s="37" t="s">
        <v>232</v>
      </c>
    </row>
    <row r="19" ht="13.5" customHeight="1">
      <c r="B19" s="38" t="s">
        <v>243</v>
      </c>
    </row>
    <row r="20" ht="13.5" customHeight="1">
      <c r="B20" s="38" t="s">
        <v>253</v>
      </c>
    </row>
    <row r="21" ht="13.5" customHeight="1">
      <c r="B21" s="38" t="s">
        <v>263</v>
      </c>
    </row>
    <row r="22" ht="13.5" customHeight="1">
      <c r="B22" s="37" t="s">
        <v>271</v>
      </c>
    </row>
    <row r="23" ht="13.5" customHeight="1">
      <c r="B23" s="38" t="s">
        <v>280</v>
      </c>
    </row>
    <row r="24" ht="13.5" customHeight="1">
      <c r="B24" s="38" t="s">
        <v>288</v>
      </c>
    </row>
    <row r="25" ht="13.5" customHeight="1">
      <c r="B25" s="37" t="s">
        <v>295</v>
      </c>
    </row>
    <row r="26" ht="13.5" customHeight="1">
      <c r="A26" s="39"/>
      <c r="B26" s="38" t="s">
        <v>302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</row>
    <row r="27" ht="13.5" customHeight="1">
      <c r="B27" s="42" t="s">
        <v>310</v>
      </c>
    </row>
    <row r="28" ht="17.25" customHeight="1">
      <c r="A28" s="40"/>
      <c r="B28" s="40"/>
      <c r="C28" s="40"/>
    </row>
    <row r="29" ht="17.25" customHeight="1">
      <c r="A29" s="40"/>
      <c r="B29" s="40"/>
      <c r="C29" s="40"/>
    </row>
    <row r="30" ht="30.75" customHeight="1">
      <c r="A30" s="35" t="s">
        <v>453</v>
      </c>
      <c r="B30" s="40"/>
      <c r="C30" s="40"/>
    </row>
    <row r="31" ht="13.5" customHeight="1">
      <c r="C31" s="43" t="s">
        <v>32</v>
      </c>
      <c r="D31" s="43" t="s">
        <v>310</v>
      </c>
      <c r="E31" s="44" t="s">
        <v>169</v>
      </c>
      <c r="F31" s="43" t="s">
        <v>51</v>
      </c>
      <c r="G31" s="44" t="s">
        <v>84</v>
      </c>
      <c r="H31" s="43" t="s">
        <v>157</v>
      </c>
      <c r="I31" s="43" t="s">
        <v>209</v>
      </c>
      <c r="J31" s="43" t="s">
        <v>129</v>
      </c>
      <c r="K31" s="43" t="s">
        <v>253</v>
      </c>
      <c r="L31" s="44" t="s">
        <v>116</v>
      </c>
      <c r="M31" s="44" t="s">
        <v>243</v>
      </c>
      <c r="N31" s="43" t="s">
        <v>144</v>
      </c>
      <c r="O31" s="44" t="s">
        <v>263</v>
      </c>
      <c r="P31" s="43" t="s">
        <v>295</v>
      </c>
      <c r="Q31" s="44" t="s">
        <v>196</v>
      </c>
      <c r="R31" s="43" t="s">
        <v>271</v>
      </c>
      <c r="S31" s="43" t="s">
        <v>100</v>
      </c>
      <c r="T31" s="43" t="s">
        <v>288</v>
      </c>
      <c r="U31" s="43" t="s">
        <v>67</v>
      </c>
    </row>
    <row r="32" ht="13.5" customHeight="1">
      <c r="C32" s="45" t="s">
        <v>34</v>
      </c>
      <c r="D32" s="46" t="s">
        <v>454</v>
      </c>
      <c r="E32" s="46" t="s">
        <v>455</v>
      </c>
      <c r="F32" s="45" t="s">
        <v>53</v>
      </c>
      <c r="G32" s="45" t="s">
        <v>348</v>
      </c>
      <c r="H32" s="45" t="s">
        <v>67</v>
      </c>
      <c r="I32" s="46" t="s">
        <v>456</v>
      </c>
      <c r="J32" s="46" t="s">
        <v>457</v>
      </c>
      <c r="K32" s="46" t="s">
        <v>458</v>
      </c>
      <c r="L32" s="46" t="s">
        <v>449</v>
      </c>
      <c r="M32" s="45" t="s">
        <v>459</v>
      </c>
      <c r="N32" s="45" t="s">
        <v>460</v>
      </c>
      <c r="O32" s="45" t="s">
        <v>461</v>
      </c>
      <c r="P32" s="45" t="s">
        <v>462</v>
      </c>
      <c r="Q32" s="45" t="s">
        <v>463</v>
      </c>
      <c r="R32" s="45" t="s">
        <v>456</v>
      </c>
      <c r="S32" s="46" t="s">
        <v>129</v>
      </c>
      <c r="T32" s="45" t="s">
        <v>464</v>
      </c>
      <c r="U32" s="46" t="s">
        <v>159</v>
      </c>
    </row>
    <row r="33" ht="13.5" customHeight="1">
      <c r="D33" s="47"/>
      <c r="E33" s="45" t="s">
        <v>465</v>
      </c>
      <c r="F33" s="45" t="s">
        <v>69</v>
      </c>
      <c r="G33" s="46" t="s">
        <v>353</v>
      </c>
      <c r="H33" s="46" t="s">
        <v>466</v>
      </c>
      <c r="I33" s="45" t="s">
        <v>467</v>
      </c>
      <c r="J33" s="45" t="s">
        <v>468</v>
      </c>
      <c r="K33" s="45" t="s">
        <v>469</v>
      </c>
      <c r="L33" s="45" t="s">
        <v>470</v>
      </c>
      <c r="M33" s="46" t="s">
        <v>471</v>
      </c>
      <c r="N33" s="46" t="s">
        <v>472</v>
      </c>
      <c r="O33" s="46" t="s">
        <v>473</v>
      </c>
      <c r="P33" s="46" t="s">
        <v>129</v>
      </c>
      <c r="Q33" s="46" t="s">
        <v>474</v>
      </c>
      <c r="R33" s="46" t="s">
        <v>475</v>
      </c>
      <c r="S33" s="45" t="s">
        <v>388</v>
      </c>
      <c r="T33" s="46" t="s">
        <v>476</v>
      </c>
      <c r="U33" s="45" t="s">
        <v>100</v>
      </c>
    </row>
    <row r="34" ht="13.5" customHeight="1">
      <c r="D34" s="47"/>
      <c r="E34" s="46" t="s">
        <v>477</v>
      </c>
      <c r="F34" s="45" t="s">
        <v>86</v>
      </c>
      <c r="G34" s="45" t="s">
        <v>359</v>
      </c>
      <c r="H34" s="45" t="s">
        <v>392</v>
      </c>
      <c r="I34" s="46" t="s">
        <v>478</v>
      </c>
      <c r="J34" s="46" t="s">
        <v>479</v>
      </c>
      <c r="K34" s="46" t="s">
        <v>480</v>
      </c>
      <c r="L34" s="46" t="s">
        <v>469</v>
      </c>
      <c r="M34" s="45" t="s">
        <v>129</v>
      </c>
      <c r="N34" s="45" t="s">
        <v>481</v>
      </c>
      <c r="O34" s="45" t="s">
        <v>482</v>
      </c>
      <c r="P34" s="45" t="s">
        <v>483</v>
      </c>
      <c r="Q34" s="45" t="s">
        <v>484</v>
      </c>
      <c r="R34" s="45" t="s">
        <v>469</v>
      </c>
      <c r="S34" s="46" t="s">
        <v>392</v>
      </c>
      <c r="T34" s="45" t="s">
        <v>129</v>
      </c>
      <c r="U34" s="46" t="s">
        <v>184</v>
      </c>
    </row>
    <row r="35" ht="13.5" customHeight="1">
      <c r="D35" s="47"/>
      <c r="E35" s="45" t="s">
        <v>485</v>
      </c>
      <c r="F35" s="45" t="s">
        <v>102</v>
      </c>
      <c r="G35" s="46" t="s">
        <v>365</v>
      </c>
      <c r="H35" s="46" t="s">
        <v>486</v>
      </c>
      <c r="I35" s="45" t="s">
        <v>487</v>
      </c>
      <c r="J35" s="45" t="s">
        <v>488</v>
      </c>
      <c r="K35" s="45" t="s">
        <v>489</v>
      </c>
      <c r="L35" s="45" t="s">
        <v>116</v>
      </c>
      <c r="M35" s="46" t="s">
        <v>490</v>
      </c>
      <c r="N35" s="46" t="s">
        <v>491</v>
      </c>
      <c r="O35" s="46" t="s">
        <v>492</v>
      </c>
      <c r="P35" s="46" t="s">
        <v>493</v>
      </c>
      <c r="Q35" s="46" t="s">
        <v>494</v>
      </c>
      <c r="R35" s="46" t="s">
        <v>495</v>
      </c>
      <c r="S35" s="45" t="s">
        <v>395</v>
      </c>
      <c r="T35" s="46" t="s">
        <v>71</v>
      </c>
      <c r="U35" s="45" t="s">
        <v>198</v>
      </c>
    </row>
    <row r="36" ht="13.5" customHeight="1">
      <c r="D36" s="47"/>
      <c r="E36" s="47"/>
      <c r="F36" s="45" t="s">
        <v>118</v>
      </c>
      <c r="G36" s="45" t="s">
        <v>371</v>
      </c>
      <c r="H36" s="45" t="s">
        <v>496</v>
      </c>
      <c r="I36" s="46" t="s">
        <v>497</v>
      </c>
      <c r="J36" s="46" t="s">
        <v>498</v>
      </c>
      <c r="K36" s="46" t="s">
        <v>499</v>
      </c>
      <c r="L36" s="48" t="s">
        <v>129</v>
      </c>
      <c r="M36" s="45" t="s">
        <v>468</v>
      </c>
      <c r="N36" s="45" t="s">
        <v>500</v>
      </c>
      <c r="O36" s="45" t="s">
        <v>501</v>
      </c>
      <c r="P36" s="45" t="s">
        <v>234</v>
      </c>
      <c r="Q36" s="45" t="s">
        <v>502</v>
      </c>
      <c r="R36" s="45" t="s">
        <v>503</v>
      </c>
      <c r="S36" s="46" t="s">
        <v>399</v>
      </c>
      <c r="T36" s="45" t="s">
        <v>504</v>
      </c>
      <c r="U36" s="46" t="s">
        <v>211</v>
      </c>
    </row>
    <row r="37" ht="13.5" customHeight="1">
      <c r="D37" s="47"/>
      <c r="E37" s="47"/>
      <c r="F37" s="45" t="s">
        <v>131</v>
      </c>
      <c r="G37" s="46" t="s">
        <v>377</v>
      </c>
      <c r="H37" s="46" t="s">
        <v>505</v>
      </c>
      <c r="I37" s="45" t="s">
        <v>506</v>
      </c>
      <c r="J37" s="45" t="s">
        <v>507</v>
      </c>
      <c r="K37" s="45" t="s">
        <v>508</v>
      </c>
      <c r="L37" s="49" t="s">
        <v>509</v>
      </c>
      <c r="M37" s="46" t="s">
        <v>510</v>
      </c>
      <c r="N37" s="46" t="s">
        <v>34</v>
      </c>
      <c r="O37" s="46" t="s">
        <v>511</v>
      </c>
      <c r="P37" s="46" t="s">
        <v>512</v>
      </c>
      <c r="Q37" s="46" t="s">
        <v>513</v>
      </c>
      <c r="R37" s="46" t="s">
        <v>129</v>
      </c>
      <c r="S37" s="45" t="s">
        <v>403</v>
      </c>
      <c r="T37" s="46" t="s">
        <v>514</v>
      </c>
      <c r="U37" s="45" t="s">
        <v>223</v>
      </c>
    </row>
    <row r="38" ht="13.5" customHeight="1">
      <c r="D38" s="47"/>
      <c r="E38" s="47"/>
      <c r="F38" s="45" t="s">
        <v>146</v>
      </c>
      <c r="G38" s="45" t="s">
        <v>381</v>
      </c>
      <c r="H38" s="45" t="s">
        <v>377</v>
      </c>
      <c r="I38" s="46" t="s">
        <v>515</v>
      </c>
      <c r="J38" s="46" t="s">
        <v>516</v>
      </c>
      <c r="K38" s="46" t="s">
        <v>517</v>
      </c>
      <c r="L38" s="48" t="s">
        <v>510</v>
      </c>
      <c r="M38" s="45" t="s">
        <v>34</v>
      </c>
      <c r="N38" s="45" t="s">
        <v>518</v>
      </c>
      <c r="O38" s="45" t="s">
        <v>519</v>
      </c>
      <c r="P38" s="45" t="s">
        <v>520</v>
      </c>
      <c r="Q38" s="45" t="s">
        <v>521</v>
      </c>
      <c r="R38" s="45" t="s">
        <v>522</v>
      </c>
      <c r="S38" s="46" t="s">
        <v>34</v>
      </c>
      <c r="T38" s="45" t="s">
        <v>523</v>
      </c>
      <c r="U38" s="46" t="s">
        <v>234</v>
      </c>
    </row>
    <row r="39" ht="13.5" customHeight="1">
      <c r="E39" s="47"/>
      <c r="G39" s="47"/>
      <c r="H39" s="46" t="s">
        <v>510</v>
      </c>
      <c r="I39" s="45" t="s">
        <v>524</v>
      </c>
      <c r="J39" s="45" t="s">
        <v>525</v>
      </c>
      <c r="K39" s="45" t="s">
        <v>526</v>
      </c>
      <c r="L39" s="49" t="s">
        <v>527</v>
      </c>
      <c r="M39" s="46" t="s">
        <v>528</v>
      </c>
      <c r="N39" s="46" t="s">
        <v>232</v>
      </c>
      <c r="O39" s="46" t="s">
        <v>365</v>
      </c>
      <c r="P39" s="46" t="s">
        <v>529</v>
      </c>
      <c r="Q39" s="46" t="s">
        <v>211</v>
      </c>
      <c r="R39" s="46" t="s">
        <v>530</v>
      </c>
      <c r="S39" s="45" t="s">
        <v>410</v>
      </c>
      <c r="T39" s="46" t="s">
        <v>531</v>
      </c>
      <c r="U39" s="45" t="s">
        <v>245</v>
      </c>
    </row>
    <row r="40" ht="13.5" customHeight="1">
      <c r="E40" s="47"/>
      <c r="G40" s="47"/>
      <c r="H40" s="45" t="s">
        <v>532</v>
      </c>
      <c r="I40" s="46" t="s">
        <v>434</v>
      </c>
      <c r="J40" s="46" t="s">
        <v>533</v>
      </c>
      <c r="K40" s="46" t="s">
        <v>534</v>
      </c>
      <c r="L40" s="48" t="s">
        <v>535</v>
      </c>
      <c r="M40" s="45" t="s">
        <v>507</v>
      </c>
      <c r="N40" s="45" t="s">
        <v>536</v>
      </c>
      <c r="O40" s="45" t="s">
        <v>537</v>
      </c>
      <c r="P40" s="45" t="s">
        <v>538</v>
      </c>
      <c r="Q40" s="45" t="s">
        <v>539</v>
      </c>
      <c r="R40" s="45" t="s">
        <v>34</v>
      </c>
      <c r="S40" s="46" t="s">
        <v>414</v>
      </c>
      <c r="T40" s="45" t="s">
        <v>540</v>
      </c>
      <c r="U40" s="46" t="s">
        <v>255</v>
      </c>
    </row>
    <row r="41" ht="13.5" customHeight="1">
      <c r="E41" s="47"/>
      <c r="G41" s="47"/>
      <c r="H41" s="47"/>
      <c r="I41" s="47"/>
      <c r="J41" s="45" t="s">
        <v>271</v>
      </c>
      <c r="K41" s="49" t="s">
        <v>541</v>
      </c>
      <c r="L41" s="49" t="s">
        <v>542</v>
      </c>
      <c r="M41" s="46" t="s">
        <v>543</v>
      </c>
      <c r="N41" s="46" t="s">
        <v>544</v>
      </c>
      <c r="O41" s="48" t="s">
        <v>545</v>
      </c>
      <c r="P41" s="46" t="s">
        <v>546</v>
      </c>
      <c r="Q41" s="46" t="s">
        <v>547</v>
      </c>
      <c r="R41" s="46" t="s">
        <v>526</v>
      </c>
      <c r="S41" s="45" t="s">
        <v>418</v>
      </c>
      <c r="T41" s="46" t="s">
        <v>232</v>
      </c>
      <c r="U41" s="45" t="s">
        <v>265</v>
      </c>
    </row>
    <row r="42" ht="13.5" customHeight="1">
      <c r="E42" s="47"/>
      <c r="G42" s="47"/>
      <c r="H42" s="47"/>
      <c r="I42" s="47"/>
      <c r="J42" s="46" t="s">
        <v>548</v>
      </c>
      <c r="K42" s="48" t="s">
        <v>549</v>
      </c>
      <c r="L42" s="48" t="s">
        <v>550</v>
      </c>
      <c r="M42" s="45" t="s">
        <v>447</v>
      </c>
      <c r="N42" s="45" t="s">
        <v>551</v>
      </c>
      <c r="O42" s="49" t="s">
        <v>552</v>
      </c>
      <c r="P42" s="45" t="s">
        <v>553</v>
      </c>
      <c r="Q42" s="45" t="s">
        <v>399</v>
      </c>
      <c r="R42" s="45" t="s">
        <v>554</v>
      </c>
      <c r="S42" s="46" t="s">
        <v>421</v>
      </c>
      <c r="T42" s="45" t="s">
        <v>555</v>
      </c>
      <c r="U42" s="46" t="s">
        <v>273</v>
      </c>
    </row>
    <row r="43" ht="13.5" customHeight="1">
      <c r="E43" s="47"/>
      <c r="G43" s="47"/>
      <c r="H43" s="47"/>
      <c r="J43" s="47"/>
      <c r="L43" s="49" t="s">
        <v>456</v>
      </c>
      <c r="M43" s="46" t="s">
        <v>556</v>
      </c>
      <c r="N43" s="46" t="s">
        <v>557</v>
      </c>
      <c r="O43" s="48" t="s">
        <v>275</v>
      </c>
      <c r="P43" s="46" t="s">
        <v>271</v>
      </c>
      <c r="Q43" s="46" t="s">
        <v>558</v>
      </c>
      <c r="R43" s="46" t="s">
        <v>559</v>
      </c>
      <c r="S43" s="49" t="s">
        <v>425</v>
      </c>
      <c r="T43" s="46" t="s">
        <v>560</v>
      </c>
      <c r="U43" s="45" t="s">
        <v>282</v>
      </c>
    </row>
    <row r="44" ht="13.5" customHeight="1">
      <c r="E44" s="47"/>
      <c r="G44" s="47"/>
      <c r="J44" s="47"/>
      <c r="M44" s="45" t="s">
        <v>561</v>
      </c>
      <c r="N44" s="45" t="s">
        <v>423</v>
      </c>
      <c r="O44" s="49" t="s">
        <v>271</v>
      </c>
      <c r="P44" s="45" t="s">
        <v>562</v>
      </c>
      <c r="Q44" s="45" t="s">
        <v>563</v>
      </c>
      <c r="R44" s="45" t="s">
        <v>564</v>
      </c>
      <c r="S44" s="48" t="s">
        <v>271</v>
      </c>
      <c r="T44" s="45" t="s">
        <v>565</v>
      </c>
      <c r="U44" s="46" t="s">
        <v>290</v>
      </c>
    </row>
    <row r="45" ht="13.5" customHeight="1">
      <c r="E45" s="47"/>
      <c r="G45" s="47"/>
      <c r="J45" s="47"/>
      <c r="M45" s="47"/>
      <c r="N45" s="46" t="s">
        <v>566</v>
      </c>
      <c r="O45" s="48" t="s">
        <v>567</v>
      </c>
      <c r="P45" s="46" t="s">
        <v>568</v>
      </c>
      <c r="Q45" s="46" t="s">
        <v>569</v>
      </c>
      <c r="R45" s="48" t="s">
        <v>271</v>
      </c>
      <c r="S45" s="49" t="s">
        <v>431</v>
      </c>
      <c r="T45" s="46" t="s">
        <v>570</v>
      </c>
      <c r="U45" s="45" t="s">
        <v>297</v>
      </c>
    </row>
    <row r="46" ht="13.5" customHeight="1">
      <c r="E46" s="47"/>
      <c r="G46" s="47"/>
      <c r="M46" s="47"/>
      <c r="N46" s="47"/>
      <c r="P46" s="47"/>
      <c r="Q46" s="45" t="s">
        <v>571</v>
      </c>
      <c r="R46" s="49" t="s">
        <v>572</v>
      </c>
      <c r="S46" s="48" t="s">
        <v>434</v>
      </c>
      <c r="T46" s="49" t="s">
        <v>573</v>
      </c>
      <c r="U46" s="46" t="s">
        <v>304</v>
      </c>
    </row>
    <row r="47" ht="13.5" customHeight="1">
      <c r="E47" s="47"/>
      <c r="G47" s="47"/>
      <c r="M47" s="47"/>
      <c r="P47" s="47"/>
      <c r="Q47" s="47"/>
      <c r="S47" s="49" t="s">
        <v>438</v>
      </c>
      <c r="T47" s="48" t="s">
        <v>574</v>
      </c>
      <c r="U47" s="49" t="s">
        <v>312</v>
      </c>
    </row>
    <row r="48" ht="13.5" customHeight="1">
      <c r="E48" s="47"/>
      <c r="G48" s="47"/>
      <c r="M48" s="47"/>
      <c r="P48" s="47"/>
      <c r="Q48" s="47"/>
      <c r="S48" s="48" t="s">
        <v>441</v>
      </c>
      <c r="T48" s="49" t="s">
        <v>271</v>
      </c>
      <c r="U48" s="48" t="s">
        <v>318</v>
      </c>
    </row>
    <row r="49" ht="13.5" customHeight="1">
      <c r="E49" s="47"/>
      <c r="G49" s="47"/>
      <c r="M49" s="47"/>
      <c r="P49" s="47"/>
      <c r="Q49" s="47"/>
      <c r="S49" s="49" t="s">
        <v>445</v>
      </c>
      <c r="T49" s="48" t="s">
        <v>288</v>
      </c>
      <c r="U49" s="49" t="s">
        <v>324</v>
      </c>
    </row>
    <row r="50" ht="13.5" customHeight="1">
      <c r="E50" s="47"/>
      <c r="M50" s="47"/>
      <c r="P50" s="47"/>
      <c r="Q50" s="47"/>
      <c r="T50" s="49" t="s">
        <v>434</v>
      </c>
      <c r="U50" s="48" t="s">
        <v>330</v>
      </c>
    </row>
    <row r="51" ht="13.5" customHeight="1">
      <c r="E51" s="47"/>
      <c r="M51" s="47"/>
      <c r="P51" s="47"/>
      <c r="Q51" s="47"/>
      <c r="T51" s="48" t="s">
        <v>575</v>
      </c>
      <c r="U51" s="49" t="s">
        <v>337</v>
      </c>
    </row>
    <row r="52" ht="13.5" customHeight="1">
      <c r="E52" s="47"/>
      <c r="M52" s="47"/>
      <c r="P52" s="47"/>
      <c r="Q52" s="47"/>
      <c r="U52" s="48" t="s">
        <v>343</v>
      </c>
    </row>
    <row r="53" ht="13.5" customHeight="1">
      <c r="M53" s="47"/>
      <c r="P53" s="47"/>
    </row>
    <row r="54" ht="13.5" customHeight="1">
      <c r="M54" s="47"/>
      <c r="P54" s="47"/>
    </row>
    <row r="55" ht="13.5" customHeight="1">
      <c r="M55" s="47"/>
    </row>
    <row r="56" ht="13.5" customHeight="1">
      <c r="M56" s="47"/>
    </row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>
      <c r="A69" s="35" t="s">
        <v>576</v>
      </c>
    </row>
    <row r="70" ht="13.5" customHeight="1">
      <c r="S70" s="50"/>
      <c r="T70" s="50"/>
    </row>
    <row r="71" ht="13.5" customHeight="1">
      <c r="B71" s="51"/>
      <c r="C71" s="52"/>
      <c r="D71" s="52"/>
      <c r="E71" s="52"/>
      <c r="F71" s="52"/>
      <c r="G71" s="52"/>
      <c r="H71" s="52"/>
      <c r="J71" s="50" t="s">
        <v>577</v>
      </c>
      <c r="K71" s="53" t="s">
        <v>578</v>
      </c>
      <c r="L71" s="53" t="s">
        <v>579</v>
      </c>
      <c r="M71" s="53" t="s">
        <v>580</v>
      </c>
      <c r="N71" s="53" t="s">
        <v>581</v>
      </c>
      <c r="O71" s="53" t="s">
        <v>582</v>
      </c>
      <c r="P71" s="53" t="s">
        <v>583</v>
      </c>
      <c r="S71" s="50" t="s">
        <v>584</v>
      </c>
      <c r="T71" s="50" t="s">
        <v>585</v>
      </c>
    </row>
    <row r="72" ht="13.5" customHeight="1">
      <c r="B72" s="54"/>
      <c r="C72" s="38"/>
      <c r="D72" s="55"/>
      <c r="E72" s="56"/>
      <c r="F72" s="55"/>
      <c r="G72" s="55"/>
      <c r="H72" s="56"/>
      <c r="J72" s="57" t="str">
        <f t="shared" ref="J72:J1206" si="1">L72&amp;N72&amp;P72</f>
        <v>Distrito CapitalLibertadorAltagracia</v>
      </c>
      <c r="K72" s="50" t="s">
        <v>31</v>
      </c>
      <c r="L72" s="50" t="s">
        <v>32</v>
      </c>
      <c r="M72" s="50" t="s">
        <v>33</v>
      </c>
      <c r="N72" s="50" t="s">
        <v>34</v>
      </c>
      <c r="O72" s="50" t="s">
        <v>35</v>
      </c>
      <c r="P72" s="50" t="s">
        <v>36</v>
      </c>
      <c r="S72" s="58" t="str">
        <f>IFERROR(__xludf.DUMMYFUNCTION("FILTER(N72:N1206,L72:L1206=Datos!B2)"),"Anzoátegui")</f>
        <v>Anzoátegui</v>
      </c>
      <c r="T72" s="58" t="str">
        <f>IFERROR(__xludf.DUMMYFUNCTION("filter(P72:P1206,(N72:N1206=Datos!B3) * (L72:L1206=Datos!B2))"),"#N/A")</f>
        <v>#N/A</v>
      </c>
    </row>
    <row r="73" ht="13.5" customHeight="1">
      <c r="B73" s="54"/>
      <c r="C73" s="38"/>
      <c r="D73" s="55"/>
      <c r="E73" s="56"/>
      <c r="F73" s="55"/>
      <c r="G73" s="55"/>
      <c r="H73" s="56"/>
      <c r="J73" s="57" t="str">
        <f t="shared" si="1"/>
        <v>Distrito CapitalLibertadorAntimano</v>
      </c>
      <c r="K73" s="50" t="s">
        <v>31</v>
      </c>
      <c r="L73" s="50" t="s">
        <v>32</v>
      </c>
      <c r="M73" s="50" t="s">
        <v>33</v>
      </c>
      <c r="N73" s="50" t="s">
        <v>34</v>
      </c>
      <c r="O73" s="50" t="s">
        <v>54</v>
      </c>
      <c r="P73" s="50" t="s">
        <v>55</v>
      </c>
      <c r="S73" s="57" t="str">
        <f>IFERROR(__xludf.DUMMYFUNCTION("""COMPUTED_VALUE"""),"Anzoátegui")</f>
        <v>Anzoátegui</v>
      </c>
    </row>
    <row r="74" ht="13.5" customHeight="1">
      <c r="B74" s="54"/>
      <c r="C74" s="38"/>
      <c r="D74" s="55"/>
      <c r="E74" s="56"/>
      <c r="F74" s="55"/>
      <c r="G74" s="55"/>
      <c r="H74" s="56"/>
      <c r="J74" s="57" t="str">
        <f t="shared" si="1"/>
        <v>Distrito CapitalLibertadorCandelaria</v>
      </c>
      <c r="K74" s="50" t="s">
        <v>31</v>
      </c>
      <c r="L74" s="50" t="s">
        <v>32</v>
      </c>
      <c r="M74" s="50" t="s">
        <v>33</v>
      </c>
      <c r="N74" s="50" t="s">
        <v>34</v>
      </c>
      <c r="O74" s="50" t="s">
        <v>70</v>
      </c>
      <c r="P74" s="50" t="s">
        <v>71</v>
      </c>
      <c r="S74" s="57" t="str">
        <f>IFERROR(__xludf.DUMMYFUNCTION("""COMPUTED_VALUE"""),"Tinaquillo")</f>
        <v>Tinaquillo</v>
      </c>
    </row>
    <row r="75" ht="13.5" customHeight="1">
      <c r="B75" s="54"/>
      <c r="C75" s="38"/>
      <c r="D75" s="55"/>
      <c r="E75" s="56"/>
      <c r="F75" s="55"/>
      <c r="G75" s="55"/>
      <c r="H75" s="56"/>
      <c r="J75" s="57" t="str">
        <f t="shared" si="1"/>
        <v>Distrito CapitalLibertadorCaricuao</v>
      </c>
      <c r="K75" s="50" t="s">
        <v>31</v>
      </c>
      <c r="L75" s="50" t="s">
        <v>32</v>
      </c>
      <c r="M75" s="50" t="s">
        <v>33</v>
      </c>
      <c r="N75" s="50" t="s">
        <v>34</v>
      </c>
      <c r="O75" s="50" t="s">
        <v>87</v>
      </c>
      <c r="P75" s="50" t="s">
        <v>88</v>
      </c>
      <c r="S75" s="57" t="str">
        <f>IFERROR(__xludf.DUMMYFUNCTION("""COMPUTED_VALUE"""),"Girardot")</f>
        <v>Girardot</v>
      </c>
    </row>
    <row r="76" ht="13.5" customHeight="1">
      <c r="B76" s="54"/>
      <c r="C76" s="38"/>
      <c r="D76" s="55"/>
      <c r="E76" s="56"/>
      <c r="F76" s="55"/>
      <c r="G76" s="55"/>
      <c r="H76" s="56"/>
      <c r="J76" s="57" t="str">
        <f t="shared" si="1"/>
        <v>Distrito CapitalLibertadorCatedral</v>
      </c>
      <c r="K76" s="50" t="s">
        <v>31</v>
      </c>
      <c r="L76" s="50" t="s">
        <v>32</v>
      </c>
      <c r="M76" s="50" t="s">
        <v>33</v>
      </c>
      <c r="N76" s="50" t="s">
        <v>34</v>
      </c>
      <c r="O76" s="50" t="s">
        <v>103</v>
      </c>
      <c r="P76" s="50" t="s">
        <v>104</v>
      </c>
      <c r="S76" s="57" t="str">
        <f>IFERROR(__xludf.DUMMYFUNCTION("""COMPUTED_VALUE"""),"Girardot")</f>
        <v>Girardot</v>
      </c>
    </row>
    <row r="77" ht="13.5" customHeight="1">
      <c r="B77" s="54"/>
      <c r="C77" s="38"/>
      <c r="D77" s="55"/>
      <c r="E77" s="56"/>
      <c r="F77" s="55"/>
      <c r="G77" s="55"/>
      <c r="H77" s="56"/>
      <c r="J77" s="57" t="str">
        <f t="shared" si="1"/>
        <v>Distrito CapitalLibertadorCoche</v>
      </c>
      <c r="K77" s="50" t="s">
        <v>31</v>
      </c>
      <c r="L77" s="50" t="s">
        <v>32</v>
      </c>
      <c r="M77" s="50" t="s">
        <v>33</v>
      </c>
      <c r="N77" s="50" t="s">
        <v>34</v>
      </c>
      <c r="O77" s="50" t="s">
        <v>119</v>
      </c>
      <c r="P77" s="50" t="s">
        <v>120</v>
      </c>
      <c r="S77" s="57" t="str">
        <f>IFERROR(__xludf.DUMMYFUNCTION("""COMPUTED_VALUE"""),"Lima Blanco")</f>
        <v>Lima Blanco</v>
      </c>
    </row>
    <row r="78" ht="13.5" customHeight="1">
      <c r="B78" s="54"/>
      <c r="C78" s="38"/>
      <c r="D78" s="55"/>
      <c r="E78" s="56"/>
      <c r="F78" s="55"/>
      <c r="G78" s="55"/>
      <c r="H78" s="56"/>
      <c r="J78" s="57" t="str">
        <f t="shared" si="1"/>
        <v>Distrito CapitalLibertadorEl Junquito</v>
      </c>
      <c r="K78" s="50" t="s">
        <v>31</v>
      </c>
      <c r="L78" s="50" t="s">
        <v>32</v>
      </c>
      <c r="M78" s="50" t="s">
        <v>33</v>
      </c>
      <c r="N78" s="50" t="s">
        <v>34</v>
      </c>
      <c r="O78" s="50" t="s">
        <v>132</v>
      </c>
      <c r="P78" s="50" t="s">
        <v>133</v>
      </c>
      <c r="S78" s="57" t="str">
        <f>IFERROR(__xludf.DUMMYFUNCTION("""COMPUTED_VALUE"""),"Lima Blanco")</f>
        <v>Lima Blanco</v>
      </c>
    </row>
    <row r="79" ht="13.5" customHeight="1">
      <c r="B79" s="54"/>
      <c r="C79" s="38"/>
      <c r="D79" s="55"/>
      <c r="E79" s="56"/>
      <c r="F79" s="55"/>
      <c r="G79" s="55"/>
      <c r="H79" s="56"/>
      <c r="J79" s="57" t="str">
        <f t="shared" si="1"/>
        <v>Distrito CapitalLibertadorEl Paraíso</v>
      </c>
      <c r="K79" s="50" t="s">
        <v>31</v>
      </c>
      <c r="L79" s="50" t="s">
        <v>32</v>
      </c>
      <c r="M79" s="50" t="s">
        <v>33</v>
      </c>
      <c r="N79" s="50" t="s">
        <v>34</v>
      </c>
      <c r="O79" s="50" t="s">
        <v>147</v>
      </c>
      <c r="P79" s="50" t="s">
        <v>148</v>
      </c>
      <c r="S79" s="57" t="str">
        <f>IFERROR(__xludf.DUMMYFUNCTION("""COMPUTED_VALUE"""),"Pao De San Juan Bautista")</f>
        <v>Pao De San Juan Bautista</v>
      </c>
    </row>
    <row r="80" ht="13.5" customHeight="1">
      <c r="B80" s="54"/>
      <c r="C80" s="38"/>
      <c r="D80" s="55"/>
      <c r="E80" s="56"/>
      <c r="F80" s="55"/>
      <c r="G80" s="55"/>
      <c r="H80" s="56"/>
      <c r="J80" s="57" t="str">
        <f t="shared" si="1"/>
        <v>Distrito CapitalLibertadorEl Recreo</v>
      </c>
      <c r="K80" s="50" t="s">
        <v>31</v>
      </c>
      <c r="L80" s="50" t="s">
        <v>32</v>
      </c>
      <c r="M80" s="50" t="s">
        <v>33</v>
      </c>
      <c r="N80" s="50" t="s">
        <v>34</v>
      </c>
      <c r="O80" s="50" t="s">
        <v>160</v>
      </c>
      <c r="P80" s="50" t="s">
        <v>161</v>
      </c>
      <c r="S80" s="57" t="str">
        <f>IFERROR(__xludf.DUMMYFUNCTION("""COMPUTED_VALUE"""),"Ricaurte")</f>
        <v>Ricaurte</v>
      </c>
    </row>
    <row r="81" ht="13.5" customHeight="1">
      <c r="B81" s="54"/>
      <c r="C81" s="38"/>
      <c r="D81" s="55"/>
      <c r="E81" s="56"/>
      <c r="F81" s="55"/>
      <c r="G81" s="55"/>
      <c r="H81" s="56"/>
      <c r="J81" s="57" t="str">
        <f t="shared" si="1"/>
        <v>Distrito CapitalLibertadorEl Valle</v>
      </c>
      <c r="K81" s="50" t="s">
        <v>31</v>
      </c>
      <c r="L81" s="50" t="s">
        <v>32</v>
      </c>
      <c r="M81" s="50" t="s">
        <v>33</v>
      </c>
      <c r="N81" s="50" t="s">
        <v>34</v>
      </c>
      <c r="O81" s="50" t="s">
        <v>171</v>
      </c>
      <c r="P81" s="50" t="s">
        <v>172</v>
      </c>
      <c r="S81" s="57" t="str">
        <f>IFERROR(__xludf.DUMMYFUNCTION("""COMPUTED_VALUE"""),"Ricaurte")</f>
        <v>Ricaurte</v>
      </c>
    </row>
    <row r="82" ht="13.5" customHeight="1">
      <c r="B82" s="54"/>
      <c r="C82" s="38"/>
      <c r="D82" s="55"/>
      <c r="E82" s="56"/>
      <c r="F82" s="55"/>
      <c r="G82" s="55"/>
      <c r="H82" s="56"/>
      <c r="J82" s="57" t="str">
        <f t="shared" si="1"/>
        <v>Distrito CapitalLibertadorLa Pastora</v>
      </c>
      <c r="K82" s="50" t="s">
        <v>31</v>
      </c>
      <c r="L82" s="50" t="s">
        <v>32</v>
      </c>
      <c r="M82" s="50" t="s">
        <v>33</v>
      </c>
      <c r="N82" s="50" t="s">
        <v>34</v>
      </c>
      <c r="O82" s="50" t="s">
        <v>185</v>
      </c>
      <c r="P82" s="50" t="s">
        <v>186</v>
      </c>
      <c r="S82" s="57" t="str">
        <f>IFERROR(__xludf.DUMMYFUNCTION("""COMPUTED_VALUE"""),"Rómulo Gallegos")</f>
        <v>Rómulo Gallegos</v>
      </c>
    </row>
    <row r="83" ht="13.5" customHeight="1">
      <c r="B83" s="54"/>
      <c r="C83" s="38"/>
      <c r="D83" s="55"/>
      <c r="E83" s="56"/>
      <c r="F83" s="55"/>
      <c r="G83" s="55"/>
      <c r="H83" s="56"/>
      <c r="J83" s="57" t="str">
        <f t="shared" si="1"/>
        <v>Distrito CapitalLibertadorLa Vega</v>
      </c>
      <c r="K83" s="50" t="s">
        <v>31</v>
      </c>
      <c r="L83" s="50" t="s">
        <v>32</v>
      </c>
      <c r="M83" s="50" t="s">
        <v>33</v>
      </c>
      <c r="N83" s="50" t="s">
        <v>34</v>
      </c>
      <c r="O83" s="50" t="s">
        <v>199</v>
      </c>
      <c r="P83" s="50" t="s">
        <v>200</v>
      </c>
      <c r="S83" s="57" t="str">
        <f>IFERROR(__xludf.DUMMYFUNCTION("""COMPUTED_VALUE"""),"Ezequiel Zamora")</f>
        <v>Ezequiel Zamora</v>
      </c>
    </row>
    <row r="84" ht="13.5" customHeight="1">
      <c r="B84" s="54"/>
      <c r="C84" s="38"/>
      <c r="D84" s="55"/>
      <c r="E84" s="56"/>
      <c r="F84" s="55"/>
      <c r="G84" s="55"/>
      <c r="H84" s="56"/>
      <c r="J84" s="57" t="str">
        <f t="shared" si="1"/>
        <v>Distrito CapitalLibertadorMacarao</v>
      </c>
      <c r="K84" s="50" t="s">
        <v>31</v>
      </c>
      <c r="L84" s="50" t="s">
        <v>32</v>
      </c>
      <c r="M84" s="50" t="s">
        <v>33</v>
      </c>
      <c r="N84" s="50" t="s">
        <v>34</v>
      </c>
      <c r="O84" s="50" t="s">
        <v>212</v>
      </c>
      <c r="P84" s="50" t="s">
        <v>213</v>
      </c>
      <c r="S84" s="57" t="str">
        <f>IFERROR(__xludf.DUMMYFUNCTION("""COMPUTED_VALUE"""),"Ezequiel Zamora")</f>
        <v>Ezequiel Zamora</v>
      </c>
    </row>
    <row r="85" ht="13.5" customHeight="1">
      <c r="B85" s="54"/>
      <c r="C85" s="38"/>
      <c r="D85" s="55"/>
      <c r="E85" s="56"/>
      <c r="F85" s="55"/>
      <c r="G85" s="55"/>
      <c r="H85" s="56"/>
      <c r="J85" s="57" t="str">
        <f t="shared" si="1"/>
        <v>Distrito CapitalLibertadorSan Agustín</v>
      </c>
      <c r="K85" s="50" t="s">
        <v>31</v>
      </c>
      <c r="L85" s="50" t="s">
        <v>32</v>
      </c>
      <c r="M85" s="50" t="s">
        <v>33</v>
      </c>
      <c r="N85" s="50" t="s">
        <v>34</v>
      </c>
      <c r="O85" s="50" t="s">
        <v>224</v>
      </c>
      <c r="P85" s="50" t="s">
        <v>225</v>
      </c>
      <c r="S85" s="57" t="str">
        <f>IFERROR(__xludf.DUMMYFUNCTION("""COMPUTED_VALUE"""),"Ezequiel Zamora")</f>
        <v>Ezequiel Zamora</v>
      </c>
    </row>
    <row r="86" ht="13.5" customHeight="1">
      <c r="B86" s="54"/>
      <c r="C86" s="38"/>
      <c r="D86" s="55"/>
      <c r="E86" s="56"/>
      <c r="F86" s="55"/>
      <c r="G86" s="55"/>
      <c r="H86" s="56"/>
      <c r="J86" s="57" t="str">
        <f t="shared" si="1"/>
        <v>Distrito CapitalLibertadorSan Bernandino</v>
      </c>
      <c r="K86" s="50" t="s">
        <v>31</v>
      </c>
      <c r="L86" s="50" t="s">
        <v>32</v>
      </c>
      <c r="M86" s="50" t="s">
        <v>33</v>
      </c>
      <c r="N86" s="50" t="s">
        <v>34</v>
      </c>
      <c r="O86" s="50" t="s">
        <v>235</v>
      </c>
      <c r="P86" s="50" t="s">
        <v>236</v>
      </c>
      <c r="S86" s="57" t="str">
        <f>IFERROR(__xludf.DUMMYFUNCTION("""COMPUTED_VALUE"""),"Tinaco")</f>
        <v>Tinaco</v>
      </c>
    </row>
    <row r="87" ht="13.5" customHeight="1">
      <c r="B87" s="54"/>
      <c r="C87" s="38"/>
      <c r="D87" s="55"/>
      <c r="E87" s="56"/>
      <c r="F87" s="55"/>
      <c r="G87" s="55"/>
      <c r="H87" s="56"/>
      <c r="J87" s="57" t="str">
        <f t="shared" si="1"/>
        <v>Distrito CapitalLibertadorSan José</v>
      </c>
      <c r="K87" s="50" t="s">
        <v>31</v>
      </c>
      <c r="L87" s="50" t="s">
        <v>32</v>
      </c>
      <c r="M87" s="50" t="s">
        <v>33</v>
      </c>
      <c r="N87" s="50" t="s">
        <v>34</v>
      </c>
      <c r="O87" s="50" t="s">
        <v>246</v>
      </c>
      <c r="P87" s="50" t="s">
        <v>247</v>
      </c>
    </row>
    <row r="88" ht="13.5" customHeight="1">
      <c r="B88" s="54"/>
      <c r="C88" s="38"/>
      <c r="D88" s="55"/>
      <c r="E88" s="56"/>
      <c r="F88" s="55"/>
      <c r="G88" s="55"/>
      <c r="H88" s="56"/>
      <c r="J88" s="57" t="str">
        <f t="shared" si="1"/>
        <v>Distrito CapitalLibertadorSan Juan</v>
      </c>
      <c r="K88" s="50" t="s">
        <v>31</v>
      </c>
      <c r="L88" s="50" t="s">
        <v>32</v>
      </c>
      <c r="M88" s="50" t="s">
        <v>33</v>
      </c>
      <c r="N88" s="50" t="s">
        <v>34</v>
      </c>
      <c r="O88" s="50" t="s">
        <v>256</v>
      </c>
      <c r="P88" s="50" t="s">
        <v>257</v>
      </c>
    </row>
    <row r="89" ht="13.5" customHeight="1">
      <c r="B89" s="54"/>
      <c r="C89" s="38"/>
      <c r="D89" s="55"/>
      <c r="E89" s="56"/>
      <c r="F89" s="55"/>
      <c r="G89" s="55"/>
      <c r="H89" s="56"/>
      <c r="J89" s="57" t="str">
        <f t="shared" si="1"/>
        <v>Distrito CapitalLibertadorSan Pedro</v>
      </c>
      <c r="K89" s="50" t="s">
        <v>31</v>
      </c>
      <c r="L89" s="50" t="s">
        <v>32</v>
      </c>
      <c r="M89" s="50" t="s">
        <v>33</v>
      </c>
      <c r="N89" s="50" t="s">
        <v>34</v>
      </c>
      <c r="O89" s="50" t="s">
        <v>266</v>
      </c>
      <c r="P89" s="50" t="s">
        <v>267</v>
      </c>
    </row>
    <row r="90" ht="13.5" customHeight="1">
      <c r="B90" s="54"/>
      <c r="C90" s="38"/>
      <c r="D90" s="55"/>
      <c r="E90" s="56"/>
      <c r="F90" s="55"/>
      <c r="G90" s="55"/>
      <c r="H90" s="56"/>
      <c r="J90" s="57" t="str">
        <f t="shared" si="1"/>
        <v>Distrito CapitalLibertadorSanta Rosalía</v>
      </c>
      <c r="K90" s="50" t="s">
        <v>31</v>
      </c>
      <c r="L90" s="50" t="s">
        <v>32</v>
      </c>
      <c r="M90" s="50" t="s">
        <v>33</v>
      </c>
      <c r="N90" s="50" t="s">
        <v>34</v>
      </c>
      <c r="O90" s="50" t="s">
        <v>274</v>
      </c>
      <c r="P90" s="50" t="s">
        <v>275</v>
      </c>
    </row>
    <row r="91" ht="13.5" customHeight="1">
      <c r="B91" s="54"/>
      <c r="C91" s="38"/>
      <c r="D91" s="55"/>
      <c r="E91" s="56"/>
      <c r="F91" s="55"/>
      <c r="G91" s="55"/>
      <c r="H91" s="56"/>
      <c r="J91" s="57" t="str">
        <f t="shared" si="1"/>
        <v>Distrito CapitalLibertadorSanta Teresa</v>
      </c>
      <c r="K91" s="50" t="s">
        <v>31</v>
      </c>
      <c r="L91" s="50" t="s">
        <v>32</v>
      </c>
      <c r="M91" s="50" t="s">
        <v>33</v>
      </c>
      <c r="N91" s="50" t="s">
        <v>34</v>
      </c>
      <c r="O91" s="50" t="s">
        <v>283</v>
      </c>
      <c r="P91" s="50" t="s">
        <v>284</v>
      </c>
    </row>
    <row r="92" ht="13.5" customHeight="1">
      <c r="B92" s="54"/>
      <c r="C92" s="38"/>
      <c r="D92" s="55"/>
      <c r="E92" s="56"/>
      <c r="F92" s="55"/>
      <c r="G92" s="55"/>
      <c r="H92" s="56"/>
      <c r="J92" s="57" t="str">
        <f t="shared" si="1"/>
        <v>Distrito CapitalLibertadorSucre</v>
      </c>
      <c r="K92" s="50" t="s">
        <v>31</v>
      </c>
      <c r="L92" s="50" t="s">
        <v>32</v>
      </c>
      <c r="M92" s="50" t="s">
        <v>33</v>
      </c>
      <c r="N92" s="50" t="s">
        <v>34</v>
      </c>
      <c r="O92" s="50" t="s">
        <v>291</v>
      </c>
      <c r="P92" s="50" t="s">
        <v>271</v>
      </c>
    </row>
    <row r="93" ht="13.5" customHeight="1">
      <c r="B93" s="54"/>
      <c r="C93" s="38"/>
      <c r="D93" s="55"/>
      <c r="E93" s="56"/>
      <c r="F93" s="55"/>
      <c r="G93" s="55"/>
      <c r="H93" s="56"/>
      <c r="J93" s="57" t="str">
        <f t="shared" si="1"/>
        <v>Distrito CapitalLibertador46045</v>
      </c>
      <c r="K93" s="50" t="s">
        <v>31</v>
      </c>
      <c r="L93" s="50" t="s">
        <v>32</v>
      </c>
      <c r="M93" s="50" t="s">
        <v>33</v>
      </c>
      <c r="N93" s="50" t="s">
        <v>34</v>
      </c>
      <c r="O93" s="50" t="s">
        <v>298</v>
      </c>
      <c r="P93" s="59">
        <v>46045.0</v>
      </c>
    </row>
    <row r="94" ht="13.5" customHeight="1">
      <c r="B94" s="54"/>
      <c r="C94" s="38"/>
      <c r="D94" s="55"/>
      <c r="E94" s="56"/>
      <c r="F94" s="55"/>
      <c r="G94" s="55"/>
      <c r="H94" s="56"/>
      <c r="J94" s="57" t="str">
        <f t="shared" si="1"/>
        <v>AmazonasAutónomo Alto OrinocoHuachamacare</v>
      </c>
      <c r="K94" s="50" t="s">
        <v>50</v>
      </c>
      <c r="L94" s="50" t="s">
        <v>51</v>
      </c>
      <c r="M94" s="50" t="s">
        <v>52</v>
      </c>
      <c r="N94" s="50" t="s">
        <v>53</v>
      </c>
      <c r="O94" s="50" t="s">
        <v>305</v>
      </c>
      <c r="P94" s="50" t="s">
        <v>306</v>
      </c>
    </row>
    <row r="95" ht="13.5" customHeight="1">
      <c r="B95" s="54"/>
      <c r="C95" s="38"/>
      <c r="D95" s="55"/>
      <c r="E95" s="56"/>
      <c r="F95" s="55"/>
      <c r="G95" s="55"/>
      <c r="H95" s="56"/>
      <c r="J95" s="57" t="str">
        <f t="shared" si="1"/>
        <v>AmazonasAutónomo Alto OrinocoMarawaka</v>
      </c>
      <c r="K95" s="50" t="s">
        <v>50</v>
      </c>
      <c r="L95" s="50" t="s">
        <v>51</v>
      </c>
      <c r="M95" s="50" t="s">
        <v>52</v>
      </c>
      <c r="N95" s="50" t="s">
        <v>53</v>
      </c>
      <c r="O95" s="50" t="s">
        <v>313</v>
      </c>
      <c r="P95" s="50" t="s">
        <v>314</v>
      </c>
    </row>
    <row r="96" ht="13.5" customHeight="1">
      <c r="B96" s="54"/>
      <c r="C96" s="38"/>
      <c r="D96" s="55"/>
      <c r="E96" s="56"/>
      <c r="F96" s="55"/>
      <c r="G96" s="55"/>
      <c r="H96" s="56"/>
      <c r="J96" s="57" t="str">
        <f t="shared" si="1"/>
        <v>AmazonasAutónomo Alto OrinocoMavaca</v>
      </c>
      <c r="K96" s="50" t="s">
        <v>50</v>
      </c>
      <c r="L96" s="50" t="s">
        <v>51</v>
      </c>
      <c r="M96" s="50" t="s">
        <v>52</v>
      </c>
      <c r="N96" s="50" t="s">
        <v>53</v>
      </c>
      <c r="O96" s="50" t="s">
        <v>319</v>
      </c>
      <c r="P96" s="50" t="s">
        <v>320</v>
      </c>
    </row>
    <row r="97" ht="13.5" customHeight="1">
      <c r="B97" s="54"/>
      <c r="C97" s="38"/>
      <c r="D97" s="55"/>
      <c r="E97" s="56"/>
      <c r="F97" s="55"/>
      <c r="G97" s="55"/>
      <c r="H97" s="56"/>
      <c r="J97" s="57" t="str">
        <f t="shared" si="1"/>
        <v>AmazonasAutónomo Alto OrinocoSierra Parima</v>
      </c>
      <c r="K97" s="50" t="s">
        <v>50</v>
      </c>
      <c r="L97" s="50" t="s">
        <v>51</v>
      </c>
      <c r="M97" s="50" t="s">
        <v>52</v>
      </c>
      <c r="N97" s="50" t="s">
        <v>53</v>
      </c>
      <c r="O97" s="50" t="s">
        <v>325</v>
      </c>
      <c r="P97" s="50" t="s">
        <v>326</v>
      </c>
    </row>
    <row r="98" ht="13.5" customHeight="1">
      <c r="B98" s="54"/>
      <c r="C98" s="38"/>
      <c r="D98" s="55"/>
      <c r="E98" s="56"/>
      <c r="F98" s="55"/>
      <c r="G98" s="55"/>
      <c r="H98" s="56"/>
      <c r="J98" s="57" t="str">
        <f t="shared" si="1"/>
        <v>AmazonasAutónomo AtabapoUcata</v>
      </c>
      <c r="K98" s="50" t="s">
        <v>50</v>
      </c>
      <c r="L98" s="50" t="s">
        <v>51</v>
      </c>
      <c r="M98" s="50" t="s">
        <v>68</v>
      </c>
      <c r="N98" s="50" t="s">
        <v>69</v>
      </c>
      <c r="O98" s="50" t="s">
        <v>331</v>
      </c>
      <c r="P98" s="50" t="s">
        <v>332</v>
      </c>
    </row>
    <row r="99" ht="13.5" customHeight="1">
      <c r="B99" s="54"/>
      <c r="C99" s="38"/>
      <c r="D99" s="55"/>
      <c r="E99" s="56"/>
      <c r="F99" s="55"/>
      <c r="G99" s="55"/>
      <c r="H99" s="56"/>
      <c r="J99" s="57" t="str">
        <f t="shared" si="1"/>
        <v>AmazonasAutónomo AtabapoYacapana</v>
      </c>
      <c r="K99" s="50" t="s">
        <v>50</v>
      </c>
      <c r="L99" s="50" t="s">
        <v>51</v>
      </c>
      <c r="M99" s="50" t="s">
        <v>68</v>
      </c>
      <c r="N99" s="50" t="s">
        <v>69</v>
      </c>
      <c r="O99" s="50" t="s">
        <v>338</v>
      </c>
      <c r="P99" s="50" t="s">
        <v>339</v>
      </c>
    </row>
    <row r="100" ht="13.5" customHeight="1">
      <c r="B100" s="54"/>
      <c r="C100" s="38"/>
      <c r="D100" s="55"/>
      <c r="E100" s="56"/>
      <c r="F100" s="55"/>
      <c r="G100" s="55"/>
      <c r="H100" s="56"/>
      <c r="J100" s="57" t="str">
        <f t="shared" si="1"/>
        <v>AmazonasAutónomo AtabapoCaname</v>
      </c>
      <c r="K100" s="50" t="s">
        <v>50</v>
      </c>
      <c r="L100" s="50" t="s">
        <v>51</v>
      </c>
      <c r="M100" s="50" t="s">
        <v>68</v>
      </c>
      <c r="N100" s="50" t="s">
        <v>69</v>
      </c>
      <c r="O100" s="50" t="s">
        <v>344</v>
      </c>
      <c r="P100" s="50" t="s">
        <v>345</v>
      </c>
    </row>
    <row r="101" ht="13.5" customHeight="1">
      <c r="B101" s="54"/>
      <c r="C101" s="38"/>
      <c r="D101" s="55"/>
      <c r="E101" s="56"/>
      <c r="F101" s="55"/>
      <c r="G101" s="55"/>
      <c r="H101" s="56"/>
      <c r="J101" s="57" t="str">
        <f t="shared" si="1"/>
        <v>AmazonasAutónomo AturesFernando Giron Tovar</v>
      </c>
      <c r="K101" s="50" t="s">
        <v>50</v>
      </c>
      <c r="L101" s="50" t="s">
        <v>51</v>
      </c>
      <c r="M101" s="50" t="s">
        <v>85</v>
      </c>
      <c r="N101" s="50" t="s">
        <v>86</v>
      </c>
      <c r="O101" s="50" t="s">
        <v>349</v>
      </c>
      <c r="P101" s="50" t="s">
        <v>350</v>
      </c>
    </row>
    <row r="102" ht="13.5" customHeight="1">
      <c r="B102" s="54"/>
      <c r="C102" s="38"/>
      <c r="D102" s="55"/>
      <c r="E102" s="56"/>
      <c r="F102" s="55"/>
      <c r="G102" s="55"/>
      <c r="H102" s="56"/>
      <c r="J102" s="57" t="str">
        <f t="shared" si="1"/>
        <v>AmazonasAutónomo AturesLuis Alberto Gómez</v>
      </c>
      <c r="K102" s="50" t="s">
        <v>50</v>
      </c>
      <c r="L102" s="50" t="s">
        <v>51</v>
      </c>
      <c r="M102" s="50" t="s">
        <v>85</v>
      </c>
      <c r="N102" s="50" t="s">
        <v>86</v>
      </c>
      <c r="O102" s="50" t="s">
        <v>354</v>
      </c>
      <c r="P102" s="50" t="s">
        <v>355</v>
      </c>
    </row>
    <row r="103" ht="13.5" customHeight="1">
      <c r="B103" s="54"/>
      <c r="C103" s="38"/>
      <c r="D103" s="55"/>
      <c r="E103" s="56"/>
      <c r="F103" s="55"/>
      <c r="G103" s="55"/>
      <c r="H103" s="56"/>
      <c r="J103" s="57" t="str">
        <f t="shared" si="1"/>
        <v>AmazonasAutónomo AturesParhueña</v>
      </c>
      <c r="K103" s="50" t="s">
        <v>50</v>
      </c>
      <c r="L103" s="50" t="s">
        <v>51</v>
      </c>
      <c r="M103" s="50" t="s">
        <v>85</v>
      </c>
      <c r="N103" s="50" t="s">
        <v>86</v>
      </c>
      <c r="O103" s="50" t="s">
        <v>360</v>
      </c>
      <c r="P103" s="50" t="s">
        <v>361</v>
      </c>
    </row>
    <row r="104" ht="13.5" customHeight="1">
      <c r="B104" s="54"/>
      <c r="C104" s="38"/>
      <c r="D104" s="55"/>
      <c r="E104" s="56"/>
      <c r="F104" s="55"/>
      <c r="G104" s="55"/>
      <c r="H104" s="56"/>
      <c r="J104" s="57" t="str">
        <f t="shared" si="1"/>
        <v>AmazonasAutónomo AturesPlatanillal</v>
      </c>
      <c r="K104" s="50" t="s">
        <v>50</v>
      </c>
      <c r="L104" s="50" t="s">
        <v>51</v>
      </c>
      <c r="M104" s="50" t="s">
        <v>85</v>
      </c>
      <c r="N104" s="50" t="s">
        <v>86</v>
      </c>
      <c r="O104" s="50" t="s">
        <v>366</v>
      </c>
      <c r="P104" s="50" t="s">
        <v>367</v>
      </c>
    </row>
    <row r="105" ht="13.5" customHeight="1">
      <c r="B105" s="54"/>
      <c r="C105" s="38"/>
      <c r="D105" s="55"/>
      <c r="E105" s="56"/>
      <c r="F105" s="55"/>
      <c r="G105" s="55"/>
      <c r="H105" s="56"/>
      <c r="J105" s="57" t="str">
        <f t="shared" si="1"/>
        <v>AmazonasAutónomo AutanaSamariapo</v>
      </c>
      <c r="K105" s="50" t="s">
        <v>50</v>
      </c>
      <c r="L105" s="50" t="s">
        <v>51</v>
      </c>
      <c r="M105" s="50" t="s">
        <v>101</v>
      </c>
      <c r="N105" s="50" t="s">
        <v>102</v>
      </c>
      <c r="O105" s="50" t="s">
        <v>372</v>
      </c>
      <c r="P105" s="50" t="s">
        <v>373</v>
      </c>
    </row>
    <row r="106" ht="13.5" customHeight="1">
      <c r="B106" s="54"/>
      <c r="C106" s="38"/>
      <c r="D106" s="55"/>
      <c r="E106" s="56"/>
      <c r="F106" s="55"/>
      <c r="G106" s="55"/>
      <c r="H106" s="56"/>
      <c r="J106" s="57" t="str">
        <f t="shared" si="1"/>
        <v>AmazonasAutónomo AutanaSipapo</v>
      </c>
      <c r="K106" s="50" t="s">
        <v>50</v>
      </c>
      <c r="L106" s="50" t="s">
        <v>51</v>
      </c>
      <c r="M106" s="50" t="s">
        <v>101</v>
      </c>
      <c r="N106" s="50" t="s">
        <v>102</v>
      </c>
      <c r="O106" s="50" t="s">
        <v>378</v>
      </c>
      <c r="P106" s="50" t="s">
        <v>379</v>
      </c>
    </row>
    <row r="107" ht="13.5" customHeight="1">
      <c r="B107" s="54"/>
      <c r="C107" s="38"/>
      <c r="D107" s="55"/>
      <c r="E107" s="56"/>
      <c r="F107" s="55"/>
      <c r="G107" s="55"/>
      <c r="H107" s="56"/>
      <c r="J107" s="57" t="str">
        <f t="shared" si="1"/>
        <v>AmazonasAutónomo AutanaMunduapo</v>
      </c>
      <c r="K107" s="50" t="s">
        <v>50</v>
      </c>
      <c r="L107" s="50" t="s">
        <v>51</v>
      </c>
      <c r="M107" s="50" t="s">
        <v>101</v>
      </c>
      <c r="N107" s="50" t="s">
        <v>102</v>
      </c>
      <c r="O107" s="50" t="s">
        <v>382</v>
      </c>
      <c r="P107" s="50" t="s">
        <v>383</v>
      </c>
    </row>
    <row r="108" ht="13.5" customHeight="1">
      <c r="B108" s="54"/>
      <c r="C108" s="38"/>
      <c r="D108" s="55"/>
      <c r="E108" s="56"/>
      <c r="F108" s="55"/>
      <c r="G108" s="55"/>
      <c r="H108" s="56"/>
      <c r="J108" s="57" t="str">
        <f t="shared" si="1"/>
        <v>AmazonasAutónomo AutanaGuayapo</v>
      </c>
      <c r="K108" s="50" t="s">
        <v>50</v>
      </c>
      <c r="L108" s="50" t="s">
        <v>51</v>
      </c>
      <c r="M108" s="50" t="s">
        <v>101</v>
      </c>
      <c r="N108" s="50" t="s">
        <v>102</v>
      </c>
      <c r="O108" s="50" t="s">
        <v>385</v>
      </c>
      <c r="P108" s="50" t="s">
        <v>386</v>
      </c>
    </row>
    <row r="109" ht="13.5" customHeight="1">
      <c r="B109" s="54"/>
      <c r="C109" s="38"/>
      <c r="D109" s="55"/>
      <c r="E109" s="56"/>
      <c r="F109" s="55"/>
      <c r="G109" s="55"/>
      <c r="H109" s="56"/>
      <c r="J109" s="57" t="str">
        <f t="shared" si="1"/>
        <v>AmazonasAutónomo MaroaVictorino</v>
      </c>
      <c r="K109" s="50" t="s">
        <v>50</v>
      </c>
      <c r="L109" s="50" t="s">
        <v>51</v>
      </c>
      <c r="M109" s="50" t="s">
        <v>117</v>
      </c>
      <c r="N109" s="50" t="s">
        <v>118</v>
      </c>
      <c r="O109" s="50" t="s">
        <v>389</v>
      </c>
      <c r="P109" s="50" t="s">
        <v>390</v>
      </c>
    </row>
    <row r="110" ht="13.5" customHeight="1">
      <c r="B110" s="54"/>
      <c r="C110" s="38"/>
      <c r="D110" s="55"/>
      <c r="E110" s="56"/>
      <c r="F110" s="55"/>
      <c r="G110" s="55"/>
      <c r="H110" s="56"/>
      <c r="J110" s="57" t="str">
        <f t="shared" si="1"/>
        <v>AmazonasAutónomo MaroaComunidad</v>
      </c>
      <c r="K110" s="50" t="s">
        <v>50</v>
      </c>
      <c r="L110" s="50" t="s">
        <v>51</v>
      </c>
      <c r="M110" s="50" t="s">
        <v>117</v>
      </c>
      <c r="N110" s="50" t="s">
        <v>118</v>
      </c>
      <c r="O110" s="50" t="s">
        <v>393</v>
      </c>
      <c r="P110" s="50" t="s">
        <v>25</v>
      </c>
    </row>
    <row r="111" ht="13.5" customHeight="1">
      <c r="B111" s="54"/>
      <c r="C111" s="38"/>
      <c r="D111" s="55"/>
      <c r="E111" s="56"/>
      <c r="F111" s="55"/>
      <c r="G111" s="55"/>
      <c r="H111" s="56"/>
      <c r="J111" s="57" t="str">
        <f t="shared" si="1"/>
        <v>AmazonasAutónomo ManapiareAlto Ventuari</v>
      </c>
      <c r="K111" s="50" t="s">
        <v>50</v>
      </c>
      <c r="L111" s="50" t="s">
        <v>51</v>
      </c>
      <c r="M111" s="50" t="s">
        <v>130</v>
      </c>
      <c r="N111" s="50" t="s">
        <v>131</v>
      </c>
      <c r="O111" s="50" t="s">
        <v>396</v>
      </c>
      <c r="P111" s="50" t="s">
        <v>397</v>
      </c>
    </row>
    <row r="112" ht="13.5" customHeight="1">
      <c r="B112" s="54"/>
      <c r="C112" s="38"/>
      <c r="D112" s="55"/>
      <c r="E112" s="56"/>
      <c r="F112" s="55"/>
      <c r="G112" s="55"/>
      <c r="H112" s="56"/>
      <c r="J112" s="57" t="str">
        <f t="shared" si="1"/>
        <v>AmazonasAutónomo ManapiareMedio Ventuari</v>
      </c>
      <c r="K112" s="50" t="s">
        <v>50</v>
      </c>
      <c r="L112" s="50" t="s">
        <v>51</v>
      </c>
      <c r="M112" s="50" t="s">
        <v>130</v>
      </c>
      <c r="N112" s="50" t="s">
        <v>131</v>
      </c>
      <c r="O112" s="50" t="s">
        <v>400</v>
      </c>
      <c r="P112" s="50" t="s">
        <v>401</v>
      </c>
    </row>
    <row r="113" ht="13.5" customHeight="1">
      <c r="B113" s="54"/>
      <c r="C113" s="38"/>
      <c r="D113" s="55"/>
      <c r="E113" s="56"/>
      <c r="F113" s="55"/>
      <c r="G113" s="55"/>
      <c r="H113" s="56"/>
      <c r="J113" s="57" t="str">
        <f t="shared" si="1"/>
        <v>AmazonasAutónomo ManapiareBajo Ventuari</v>
      </c>
      <c r="K113" s="50" t="s">
        <v>50</v>
      </c>
      <c r="L113" s="50" t="s">
        <v>51</v>
      </c>
      <c r="M113" s="50" t="s">
        <v>130</v>
      </c>
      <c r="N113" s="50" t="s">
        <v>131</v>
      </c>
      <c r="O113" s="50" t="s">
        <v>404</v>
      </c>
      <c r="P113" s="50" t="s">
        <v>405</v>
      </c>
    </row>
    <row r="114" ht="13.5" customHeight="1">
      <c r="B114" s="54"/>
      <c r="C114" s="38"/>
      <c r="D114" s="55"/>
      <c r="E114" s="56"/>
      <c r="F114" s="55"/>
      <c r="G114" s="55"/>
      <c r="H114" s="56"/>
      <c r="J114" s="57" t="str">
        <f t="shared" si="1"/>
        <v>AmazonasAutónomo Río NegroSolano</v>
      </c>
      <c r="K114" s="50" t="s">
        <v>50</v>
      </c>
      <c r="L114" s="50" t="s">
        <v>51</v>
      </c>
      <c r="M114" s="50" t="s">
        <v>145</v>
      </c>
      <c r="N114" s="50" t="s">
        <v>146</v>
      </c>
      <c r="O114" s="50" t="s">
        <v>407</v>
      </c>
      <c r="P114" s="50" t="s">
        <v>408</v>
      </c>
    </row>
    <row r="115" ht="13.5" customHeight="1">
      <c r="B115" s="54"/>
      <c r="C115" s="38"/>
      <c r="D115" s="55"/>
      <c r="E115" s="56"/>
      <c r="F115" s="55"/>
      <c r="G115" s="55"/>
      <c r="H115" s="56"/>
      <c r="J115" s="57" t="str">
        <f t="shared" si="1"/>
        <v>AmazonasAutónomo Río NegroCasiquiare</v>
      </c>
      <c r="K115" s="50" t="s">
        <v>50</v>
      </c>
      <c r="L115" s="50" t="s">
        <v>51</v>
      </c>
      <c r="M115" s="50" t="s">
        <v>145</v>
      </c>
      <c r="N115" s="50" t="s">
        <v>146</v>
      </c>
      <c r="O115" s="50" t="s">
        <v>411</v>
      </c>
      <c r="P115" s="50" t="s">
        <v>412</v>
      </c>
    </row>
    <row r="116" ht="13.5" customHeight="1">
      <c r="B116" s="54"/>
      <c r="C116" s="38"/>
      <c r="D116" s="55"/>
      <c r="E116" s="56"/>
      <c r="F116" s="55"/>
      <c r="G116" s="55"/>
      <c r="H116" s="56"/>
      <c r="J116" s="57" t="str">
        <f t="shared" si="1"/>
        <v>AmazonasAutónomo Río NegroCocuy</v>
      </c>
      <c r="K116" s="50" t="s">
        <v>50</v>
      </c>
      <c r="L116" s="50" t="s">
        <v>51</v>
      </c>
      <c r="M116" s="50" t="s">
        <v>145</v>
      </c>
      <c r="N116" s="50" t="s">
        <v>146</v>
      </c>
      <c r="O116" s="50" t="s">
        <v>415</v>
      </c>
      <c r="P116" s="50" t="s">
        <v>416</v>
      </c>
    </row>
    <row r="117" ht="13.5" customHeight="1">
      <c r="B117" s="54"/>
      <c r="C117" s="38"/>
      <c r="D117" s="55"/>
      <c r="E117" s="56"/>
      <c r="F117" s="55"/>
      <c r="G117" s="55"/>
      <c r="H117" s="56"/>
      <c r="J117" s="57" t="str">
        <f t="shared" si="1"/>
        <v>AnzoáteguiAnacoAnaco</v>
      </c>
      <c r="K117" s="50" t="s">
        <v>66</v>
      </c>
      <c r="L117" s="50" t="s">
        <v>67</v>
      </c>
      <c r="M117" s="50" t="s">
        <v>158</v>
      </c>
      <c r="N117" s="50" t="s">
        <v>159</v>
      </c>
      <c r="O117" s="50" t="s">
        <v>419</v>
      </c>
      <c r="P117" s="50" t="s">
        <v>159</v>
      </c>
    </row>
    <row r="118" ht="13.5" customHeight="1">
      <c r="B118" s="54"/>
      <c r="C118" s="38"/>
      <c r="D118" s="55"/>
      <c r="E118" s="56"/>
      <c r="F118" s="55"/>
      <c r="G118" s="55"/>
      <c r="H118" s="56"/>
      <c r="J118" s="57" t="str">
        <f t="shared" si="1"/>
        <v>AnzoáteguiAnacoSan Joaquín</v>
      </c>
      <c r="K118" s="50" t="s">
        <v>66</v>
      </c>
      <c r="L118" s="50" t="s">
        <v>67</v>
      </c>
      <c r="M118" s="50" t="s">
        <v>158</v>
      </c>
      <c r="N118" s="50" t="s">
        <v>159</v>
      </c>
      <c r="O118" s="50" t="s">
        <v>422</v>
      </c>
      <c r="P118" s="50" t="s">
        <v>423</v>
      </c>
    </row>
    <row r="119" ht="13.5" customHeight="1">
      <c r="B119" s="54"/>
      <c r="C119" s="38"/>
      <c r="D119" s="55"/>
      <c r="E119" s="56"/>
      <c r="F119" s="55"/>
      <c r="G119" s="55"/>
      <c r="H119" s="56"/>
      <c r="J119" s="57" t="str">
        <f t="shared" si="1"/>
        <v>AnzoáteguiAraguaAragua</v>
      </c>
      <c r="K119" s="50" t="s">
        <v>66</v>
      </c>
      <c r="L119" s="50" t="s">
        <v>67</v>
      </c>
      <c r="M119" s="50" t="s">
        <v>170</v>
      </c>
      <c r="N119" s="50" t="s">
        <v>100</v>
      </c>
      <c r="O119" s="50" t="s">
        <v>426</v>
      </c>
      <c r="P119" s="50" t="s">
        <v>100</v>
      </c>
    </row>
    <row r="120" ht="13.5" customHeight="1">
      <c r="B120" s="54"/>
      <c r="C120" s="38"/>
      <c r="D120" s="55"/>
      <c r="E120" s="56"/>
      <c r="F120" s="55"/>
      <c r="G120" s="55"/>
      <c r="H120" s="56"/>
      <c r="J120" s="57" t="str">
        <f t="shared" si="1"/>
        <v>AnzoáteguiAraguaCachipo</v>
      </c>
      <c r="K120" s="50" t="s">
        <v>66</v>
      </c>
      <c r="L120" s="50" t="s">
        <v>67</v>
      </c>
      <c r="M120" s="50" t="s">
        <v>170</v>
      </c>
      <c r="N120" s="50" t="s">
        <v>100</v>
      </c>
      <c r="O120" s="50" t="s">
        <v>428</v>
      </c>
      <c r="P120" s="50" t="s">
        <v>429</v>
      </c>
    </row>
    <row r="121" ht="13.5" customHeight="1">
      <c r="B121" s="54"/>
      <c r="C121" s="38"/>
      <c r="D121" s="55"/>
      <c r="E121" s="56"/>
      <c r="F121" s="55"/>
      <c r="G121" s="55"/>
      <c r="H121" s="56"/>
      <c r="J121" s="57" t="str">
        <f t="shared" si="1"/>
        <v>AnzoáteguiFernando De PeñalverFernando De Peñalver</v>
      </c>
      <c r="K121" s="50" t="s">
        <v>66</v>
      </c>
      <c r="L121" s="50" t="s">
        <v>67</v>
      </c>
      <c r="M121" s="50" t="s">
        <v>183</v>
      </c>
      <c r="N121" s="50" t="s">
        <v>184</v>
      </c>
      <c r="O121" s="50" t="s">
        <v>432</v>
      </c>
      <c r="P121" s="50" t="s">
        <v>184</v>
      </c>
    </row>
    <row r="122" ht="13.5" customHeight="1">
      <c r="B122" s="54"/>
      <c r="C122" s="38"/>
      <c r="D122" s="55"/>
      <c r="E122" s="56"/>
      <c r="F122" s="55"/>
      <c r="G122" s="55"/>
      <c r="H122" s="56"/>
      <c r="J122" s="57" t="str">
        <f t="shared" si="1"/>
        <v>AnzoáteguiFernando De PeñalverSan Miguel</v>
      </c>
      <c r="K122" s="50" t="s">
        <v>66</v>
      </c>
      <c r="L122" s="50" t="s">
        <v>67</v>
      </c>
      <c r="M122" s="50" t="s">
        <v>183</v>
      </c>
      <c r="N122" s="50" t="s">
        <v>184</v>
      </c>
      <c r="O122" s="50" t="s">
        <v>435</v>
      </c>
      <c r="P122" s="50" t="s">
        <v>436</v>
      </c>
    </row>
    <row r="123" ht="13.5" customHeight="1">
      <c r="B123" s="54"/>
      <c r="C123" s="38"/>
      <c r="D123" s="55"/>
      <c r="E123" s="56"/>
      <c r="F123" s="55"/>
      <c r="G123" s="55"/>
      <c r="H123" s="56"/>
      <c r="J123" s="57" t="str">
        <f t="shared" si="1"/>
        <v>AnzoáteguiFernando De PeñalverSucre</v>
      </c>
      <c r="K123" s="50" t="s">
        <v>66</v>
      </c>
      <c r="L123" s="50" t="s">
        <v>67</v>
      </c>
      <c r="M123" s="50" t="s">
        <v>183</v>
      </c>
      <c r="N123" s="50" t="s">
        <v>184</v>
      </c>
      <c r="O123" s="50" t="s">
        <v>439</v>
      </c>
      <c r="P123" s="50" t="s">
        <v>271</v>
      </c>
    </row>
    <row r="124" ht="13.5" customHeight="1">
      <c r="B124" s="54"/>
      <c r="C124" s="38"/>
      <c r="D124" s="55"/>
      <c r="E124" s="56"/>
      <c r="F124" s="55"/>
      <c r="G124" s="55"/>
      <c r="H124" s="56"/>
      <c r="J124" s="57" t="str">
        <f t="shared" si="1"/>
        <v>AnzoáteguiFrancisco Del CarvajalCapital Francisco Del Carmen Carvajal</v>
      </c>
      <c r="K124" s="50" t="s">
        <v>66</v>
      </c>
      <c r="L124" s="50" t="s">
        <v>67</v>
      </c>
      <c r="M124" s="50" t="s">
        <v>197</v>
      </c>
      <c r="N124" s="50" t="s">
        <v>198</v>
      </c>
      <c r="O124" s="50" t="s">
        <v>442</v>
      </c>
      <c r="P124" s="50" t="s">
        <v>443</v>
      </c>
    </row>
    <row r="125" ht="13.5" customHeight="1">
      <c r="B125" s="54"/>
      <c r="C125" s="38"/>
      <c r="D125" s="55"/>
      <c r="E125" s="56"/>
      <c r="F125" s="55"/>
      <c r="G125" s="55"/>
      <c r="H125" s="56"/>
      <c r="J125" s="57" t="str">
        <f t="shared" si="1"/>
        <v>AnzoáteguiFrancisco Del CarvajalSanta Bárbara</v>
      </c>
      <c r="K125" s="50" t="s">
        <v>66</v>
      </c>
      <c r="L125" s="50" t="s">
        <v>67</v>
      </c>
      <c r="M125" s="50" t="s">
        <v>197</v>
      </c>
      <c r="N125" s="50" t="s">
        <v>198</v>
      </c>
      <c r="O125" s="50" t="s">
        <v>446</v>
      </c>
      <c r="P125" s="50" t="s">
        <v>447</v>
      </c>
    </row>
    <row r="126" ht="13.5" customHeight="1">
      <c r="B126" s="54"/>
      <c r="C126" s="38"/>
      <c r="D126" s="55"/>
      <c r="E126" s="56"/>
      <c r="F126" s="55"/>
      <c r="G126" s="55"/>
      <c r="H126" s="56"/>
      <c r="J126" s="57" t="str">
        <f t="shared" si="1"/>
        <v>AnzoáteguiFrancisco De MirandaFrancisco De Miranda</v>
      </c>
      <c r="K126" s="50" t="s">
        <v>66</v>
      </c>
      <c r="L126" s="50" t="s">
        <v>67</v>
      </c>
      <c r="M126" s="50" t="s">
        <v>210</v>
      </c>
      <c r="N126" s="50" t="s">
        <v>211</v>
      </c>
      <c r="O126" s="50" t="s">
        <v>450</v>
      </c>
      <c r="P126" s="50" t="s">
        <v>211</v>
      </c>
    </row>
    <row r="127" ht="13.5" customHeight="1">
      <c r="B127" s="54"/>
      <c r="C127" s="38"/>
      <c r="D127" s="55"/>
      <c r="E127" s="56"/>
      <c r="F127" s="55"/>
      <c r="G127" s="55"/>
      <c r="H127" s="56"/>
      <c r="J127" s="57" t="str">
        <f t="shared" si="1"/>
        <v>AnzoáteguiFrancisco De MirandaAtapirire</v>
      </c>
      <c r="K127" s="50" t="s">
        <v>66</v>
      </c>
      <c r="L127" s="50" t="s">
        <v>67</v>
      </c>
      <c r="M127" s="50" t="s">
        <v>210</v>
      </c>
      <c r="N127" s="50" t="s">
        <v>211</v>
      </c>
      <c r="O127" s="50" t="s">
        <v>586</v>
      </c>
      <c r="P127" s="50" t="s">
        <v>587</v>
      </c>
    </row>
    <row r="128" ht="13.5" customHeight="1">
      <c r="B128" s="54"/>
      <c r="C128" s="38"/>
      <c r="D128" s="55"/>
      <c r="E128" s="56"/>
      <c r="F128" s="55"/>
      <c r="G128" s="55"/>
      <c r="H128" s="56"/>
      <c r="J128" s="57" t="str">
        <f t="shared" si="1"/>
        <v>AnzoáteguiFrancisco De MirandaBoca Del Pao</v>
      </c>
      <c r="K128" s="50" t="s">
        <v>66</v>
      </c>
      <c r="L128" s="50" t="s">
        <v>67</v>
      </c>
      <c r="M128" s="50" t="s">
        <v>210</v>
      </c>
      <c r="N128" s="50" t="s">
        <v>211</v>
      </c>
      <c r="O128" s="50" t="s">
        <v>588</v>
      </c>
      <c r="P128" s="50" t="s">
        <v>589</v>
      </c>
    </row>
    <row r="129" ht="13.5" customHeight="1">
      <c r="B129" s="54"/>
      <c r="C129" s="38"/>
      <c r="D129" s="55"/>
      <c r="E129" s="56"/>
      <c r="F129" s="55"/>
      <c r="G129" s="55"/>
      <c r="H129" s="56"/>
      <c r="J129" s="57" t="str">
        <f t="shared" si="1"/>
        <v>AnzoáteguiFrancisco De MirandaEl Pao</v>
      </c>
      <c r="K129" s="50" t="s">
        <v>66</v>
      </c>
      <c r="L129" s="50" t="s">
        <v>67</v>
      </c>
      <c r="M129" s="50" t="s">
        <v>210</v>
      </c>
      <c r="N129" s="50" t="s">
        <v>211</v>
      </c>
      <c r="O129" s="50" t="s">
        <v>590</v>
      </c>
      <c r="P129" s="50" t="s">
        <v>591</v>
      </c>
    </row>
    <row r="130" ht="13.5" customHeight="1">
      <c r="B130" s="54"/>
      <c r="C130" s="38"/>
      <c r="D130" s="55"/>
      <c r="E130" s="56"/>
      <c r="F130" s="55"/>
      <c r="G130" s="55"/>
      <c r="H130" s="56"/>
      <c r="J130" s="57" t="str">
        <f t="shared" si="1"/>
        <v>AnzoáteguiGuantaGuanta</v>
      </c>
      <c r="K130" s="50" t="s">
        <v>66</v>
      </c>
      <c r="L130" s="50" t="s">
        <v>67</v>
      </c>
      <c r="M130" s="50" t="s">
        <v>222</v>
      </c>
      <c r="N130" s="50" t="s">
        <v>223</v>
      </c>
      <c r="O130" s="50" t="s">
        <v>592</v>
      </c>
      <c r="P130" s="50" t="s">
        <v>223</v>
      </c>
    </row>
    <row r="131" ht="13.5" customHeight="1">
      <c r="B131" s="54"/>
      <c r="C131" s="38"/>
      <c r="D131" s="55"/>
      <c r="E131" s="56"/>
      <c r="F131" s="55"/>
      <c r="G131" s="55"/>
      <c r="H131" s="56"/>
      <c r="J131" s="57" t="str">
        <f t="shared" si="1"/>
        <v>AnzoáteguiGuantaChorrerón</v>
      </c>
      <c r="K131" s="50" t="s">
        <v>66</v>
      </c>
      <c r="L131" s="50" t="s">
        <v>67</v>
      </c>
      <c r="M131" s="50" t="s">
        <v>222</v>
      </c>
      <c r="N131" s="50" t="s">
        <v>223</v>
      </c>
      <c r="O131" s="50" t="s">
        <v>593</v>
      </c>
      <c r="P131" s="50" t="s">
        <v>594</v>
      </c>
    </row>
    <row r="132" ht="13.5" customHeight="1">
      <c r="B132" s="54"/>
      <c r="C132" s="38"/>
      <c r="D132" s="55"/>
      <c r="E132" s="56"/>
      <c r="F132" s="55"/>
      <c r="G132" s="55"/>
      <c r="H132" s="56"/>
      <c r="J132" s="57" t="str">
        <f t="shared" si="1"/>
        <v>AnzoáteguiIndependenciaIndependencia</v>
      </c>
      <c r="K132" s="50" t="s">
        <v>66</v>
      </c>
      <c r="L132" s="50" t="s">
        <v>67</v>
      </c>
      <c r="M132" s="50" t="s">
        <v>233</v>
      </c>
      <c r="N132" s="50" t="s">
        <v>234</v>
      </c>
      <c r="O132" s="50" t="s">
        <v>595</v>
      </c>
      <c r="P132" s="50" t="s">
        <v>234</v>
      </c>
    </row>
    <row r="133" ht="13.5" customHeight="1">
      <c r="B133" s="54"/>
      <c r="C133" s="38"/>
      <c r="D133" s="55"/>
      <c r="E133" s="56"/>
      <c r="F133" s="55"/>
      <c r="G133" s="55"/>
      <c r="H133" s="56"/>
      <c r="J133" s="57" t="str">
        <f t="shared" si="1"/>
        <v>AnzoáteguiIndependenciaMamo</v>
      </c>
      <c r="K133" s="50" t="s">
        <v>66</v>
      </c>
      <c r="L133" s="50" t="s">
        <v>67</v>
      </c>
      <c r="M133" s="50" t="s">
        <v>233</v>
      </c>
      <c r="N133" s="50" t="s">
        <v>234</v>
      </c>
      <c r="O133" s="50" t="s">
        <v>596</v>
      </c>
      <c r="P133" s="50" t="s">
        <v>597</v>
      </c>
    </row>
    <row r="134" ht="13.5" customHeight="1">
      <c r="B134" s="54"/>
      <c r="C134" s="38"/>
      <c r="D134" s="55"/>
      <c r="E134" s="56"/>
      <c r="F134" s="55"/>
      <c r="G134" s="55"/>
      <c r="H134" s="56"/>
      <c r="J134" s="57" t="str">
        <f t="shared" si="1"/>
        <v>AnzoáteguiJuan Antonio SotilloPuerto La Cruz</v>
      </c>
      <c r="K134" s="50" t="s">
        <v>66</v>
      </c>
      <c r="L134" s="50" t="s">
        <v>67</v>
      </c>
      <c r="M134" s="50" t="s">
        <v>244</v>
      </c>
      <c r="N134" s="50" t="s">
        <v>245</v>
      </c>
      <c r="O134" s="50" t="s">
        <v>598</v>
      </c>
      <c r="P134" s="50" t="s">
        <v>599</v>
      </c>
    </row>
    <row r="135" ht="13.5" customHeight="1">
      <c r="B135" s="54"/>
      <c r="C135" s="38"/>
      <c r="D135" s="55"/>
      <c r="E135" s="56"/>
      <c r="F135" s="55"/>
      <c r="G135" s="55"/>
      <c r="H135" s="56"/>
      <c r="J135" s="57" t="str">
        <f t="shared" si="1"/>
        <v>AnzoáteguiJuan Antonio SotilloPozuelos</v>
      </c>
      <c r="K135" s="50" t="s">
        <v>66</v>
      </c>
      <c r="L135" s="50" t="s">
        <v>67</v>
      </c>
      <c r="M135" s="50" t="s">
        <v>244</v>
      </c>
      <c r="N135" s="50" t="s">
        <v>245</v>
      </c>
      <c r="O135" s="50" t="s">
        <v>600</v>
      </c>
      <c r="P135" s="50" t="s">
        <v>601</v>
      </c>
    </row>
    <row r="136" ht="13.5" customHeight="1">
      <c r="B136" s="54"/>
      <c r="C136" s="38"/>
      <c r="D136" s="55"/>
      <c r="E136" s="56"/>
      <c r="F136" s="55"/>
      <c r="G136" s="55"/>
      <c r="H136" s="56"/>
      <c r="J136" s="57" t="str">
        <f t="shared" si="1"/>
        <v>AnzoáteguiJuan Manuel CajigalCapital Juan Manuel Cajigal</v>
      </c>
      <c r="K136" s="50" t="s">
        <v>66</v>
      </c>
      <c r="L136" s="50" t="s">
        <v>67</v>
      </c>
      <c r="M136" s="50" t="s">
        <v>254</v>
      </c>
      <c r="N136" s="50" t="s">
        <v>255</v>
      </c>
      <c r="O136" s="50" t="s">
        <v>602</v>
      </c>
      <c r="P136" s="50" t="s">
        <v>603</v>
      </c>
    </row>
    <row r="137" ht="13.5" customHeight="1">
      <c r="B137" s="54"/>
      <c r="C137" s="38"/>
      <c r="D137" s="55"/>
      <c r="E137" s="56"/>
      <c r="F137" s="55"/>
      <c r="G137" s="55"/>
      <c r="H137" s="56"/>
      <c r="J137" s="57" t="str">
        <f t="shared" si="1"/>
        <v>AnzoáteguiJuan Manuel CajigalSan Pablo</v>
      </c>
      <c r="K137" s="50" t="s">
        <v>66</v>
      </c>
      <c r="L137" s="50" t="s">
        <v>67</v>
      </c>
      <c r="M137" s="50" t="s">
        <v>254</v>
      </c>
      <c r="N137" s="50" t="s">
        <v>255</v>
      </c>
      <c r="O137" s="50" t="s">
        <v>604</v>
      </c>
      <c r="P137" s="50" t="s">
        <v>605</v>
      </c>
    </row>
    <row r="138" ht="13.5" customHeight="1">
      <c r="B138" s="54"/>
      <c r="C138" s="38"/>
      <c r="D138" s="55"/>
      <c r="E138" s="56"/>
      <c r="F138" s="55"/>
      <c r="G138" s="55"/>
      <c r="H138" s="56"/>
      <c r="J138" s="57" t="str">
        <f t="shared" si="1"/>
        <v>AnzoáteguiJosé Gregorio MonagasJosé Gregorio Monagas</v>
      </c>
      <c r="K138" s="50" t="s">
        <v>66</v>
      </c>
      <c r="L138" s="50" t="s">
        <v>67</v>
      </c>
      <c r="M138" s="50" t="s">
        <v>264</v>
      </c>
      <c r="N138" s="50" t="s">
        <v>265</v>
      </c>
      <c r="O138" s="50" t="s">
        <v>606</v>
      </c>
      <c r="P138" s="50" t="s">
        <v>265</v>
      </c>
    </row>
    <row r="139" ht="13.5" customHeight="1">
      <c r="B139" s="54"/>
      <c r="C139" s="38"/>
      <c r="D139" s="55"/>
      <c r="E139" s="56"/>
      <c r="F139" s="55"/>
      <c r="G139" s="55"/>
      <c r="H139" s="56"/>
      <c r="J139" s="57" t="str">
        <f t="shared" si="1"/>
        <v>AnzoáteguiJosé Gregorio MonagasPiar</v>
      </c>
      <c r="K139" s="50" t="s">
        <v>66</v>
      </c>
      <c r="L139" s="50" t="s">
        <v>67</v>
      </c>
      <c r="M139" s="50" t="s">
        <v>264</v>
      </c>
      <c r="N139" s="50" t="s">
        <v>265</v>
      </c>
      <c r="O139" s="50" t="s">
        <v>607</v>
      </c>
      <c r="P139" s="50" t="s">
        <v>507</v>
      </c>
    </row>
    <row r="140" ht="13.5" customHeight="1">
      <c r="B140" s="54"/>
      <c r="C140" s="38"/>
      <c r="D140" s="55"/>
      <c r="E140" s="56"/>
      <c r="F140" s="55"/>
      <c r="G140" s="55"/>
      <c r="H140" s="56"/>
      <c r="J140" s="57" t="str">
        <f t="shared" si="1"/>
        <v>AnzoáteguiJosé Gregorio MonagasSan Diego De Cabrutica</v>
      </c>
      <c r="K140" s="50" t="s">
        <v>66</v>
      </c>
      <c r="L140" s="50" t="s">
        <v>67</v>
      </c>
      <c r="M140" s="50" t="s">
        <v>264</v>
      </c>
      <c r="N140" s="50" t="s">
        <v>265</v>
      </c>
      <c r="O140" s="50" t="s">
        <v>608</v>
      </c>
      <c r="P140" s="50" t="s">
        <v>609</v>
      </c>
    </row>
    <row r="141" ht="13.5" customHeight="1">
      <c r="B141" s="54"/>
      <c r="C141" s="38"/>
      <c r="D141" s="55"/>
      <c r="E141" s="56"/>
      <c r="F141" s="55"/>
      <c r="G141" s="55"/>
      <c r="H141" s="56"/>
      <c r="J141" s="57" t="str">
        <f t="shared" si="1"/>
        <v>AnzoáteguiJosé Gregorio MonagasSanta Clara</v>
      </c>
      <c r="K141" s="50" t="s">
        <v>66</v>
      </c>
      <c r="L141" s="50" t="s">
        <v>67</v>
      </c>
      <c r="M141" s="50" t="s">
        <v>264</v>
      </c>
      <c r="N141" s="50" t="s">
        <v>265</v>
      </c>
      <c r="O141" s="50" t="s">
        <v>610</v>
      </c>
      <c r="P141" s="50" t="s">
        <v>611</v>
      </c>
    </row>
    <row r="142" ht="13.5" customHeight="1">
      <c r="B142" s="54"/>
      <c r="C142" s="38"/>
      <c r="D142" s="55"/>
      <c r="E142" s="56"/>
      <c r="F142" s="55"/>
      <c r="G142" s="55"/>
      <c r="H142" s="56"/>
      <c r="J142" s="57" t="str">
        <f t="shared" si="1"/>
        <v>AnzoáteguiJosé Gregorio MonagasUverito</v>
      </c>
      <c r="K142" s="50" t="s">
        <v>66</v>
      </c>
      <c r="L142" s="50" t="s">
        <v>67</v>
      </c>
      <c r="M142" s="50" t="s">
        <v>264</v>
      </c>
      <c r="N142" s="50" t="s">
        <v>265</v>
      </c>
      <c r="O142" s="50" t="s">
        <v>612</v>
      </c>
      <c r="P142" s="50" t="s">
        <v>613</v>
      </c>
    </row>
    <row r="143" ht="13.5" customHeight="1">
      <c r="B143" s="54"/>
      <c r="C143" s="38"/>
      <c r="D143" s="55"/>
      <c r="E143" s="56"/>
      <c r="F143" s="55"/>
      <c r="G143" s="55"/>
      <c r="H143" s="56"/>
      <c r="J143" s="57" t="str">
        <f t="shared" si="1"/>
        <v>AnzoáteguiJosé Gregorio MonagasZuata</v>
      </c>
      <c r="K143" s="50" t="s">
        <v>66</v>
      </c>
      <c r="L143" s="50" t="s">
        <v>67</v>
      </c>
      <c r="M143" s="50" t="s">
        <v>264</v>
      </c>
      <c r="N143" s="50" t="s">
        <v>265</v>
      </c>
      <c r="O143" s="50" t="s">
        <v>614</v>
      </c>
      <c r="P143" s="50" t="s">
        <v>615</v>
      </c>
    </row>
    <row r="144" ht="13.5" customHeight="1">
      <c r="B144" s="54"/>
      <c r="C144" s="38"/>
      <c r="D144" s="55"/>
      <c r="E144" s="56"/>
      <c r="F144" s="55"/>
      <c r="G144" s="55"/>
      <c r="H144" s="56"/>
      <c r="J144" s="57" t="str">
        <f t="shared" si="1"/>
        <v>AnzoáteguiLibertadCapital Libertad</v>
      </c>
      <c r="K144" s="50" t="s">
        <v>66</v>
      </c>
      <c r="L144" s="50" t="s">
        <v>67</v>
      </c>
      <c r="M144" s="50" t="s">
        <v>272</v>
      </c>
      <c r="N144" s="50" t="s">
        <v>273</v>
      </c>
      <c r="O144" s="50" t="s">
        <v>616</v>
      </c>
      <c r="P144" s="50" t="s">
        <v>617</v>
      </c>
    </row>
    <row r="145" ht="13.5" customHeight="1">
      <c r="B145" s="54"/>
      <c r="C145" s="38"/>
      <c r="D145" s="55"/>
      <c r="E145" s="56"/>
      <c r="F145" s="55"/>
      <c r="G145" s="55"/>
      <c r="H145" s="56"/>
      <c r="J145" s="57" t="str">
        <f t="shared" si="1"/>
        <v>AnzoáteguiLibertadEl Carito</v>
      </c>
      <c r="K145" s="50" t="s">
        <v>66</v>
      </c>
      <c r="L145" s="50" t="s">
        <v>67</v>
      </c>
      <c r="M145" s="50" t="s">
        <v>272</v>
      </c>
      <c r="N145" s="50" t="s">
        <v>273</v>
      </c>
      <c r="O145" s="50" t="s">
        <v>618</v>
      </c>
      <c r="P145" s="50" t="s">
        <v>619</v>
      </c>
    </row>
    <row r="146" ht="13.5" customHeight="1">
      <c r="B146" s="54"/>
      <c r="C146" s="38"/>
      <c r="D146" s="55"/>
      <c r="E146" s="56"/>
      <c r="F146" s="55"/>
      <c r="G146" s="55"/>
      <c r="H146" s="56"/>
      <c r="J146" s="57" t="str">
        <f t="shared" si="1"/>
        <v>AnzoáteguiLibertadSanta Inés</v>
      </c>
      <c r="K146" s="50" t="s">
        <v>66</v>
      </c>
      <c r="L146" s="50" t="s">
        <v>67</v>
      </c>
      <c r="M146" s="50" t="s">
        <v>272</v>
      </c>
      <c r="N146" s="50" t="s">
        <v>273</v>
      </c>
      <c r="O146" s="50" t="s">
        <v>620</v>
      </c>
      <c r="P146" s="50" t="s">
        <v>621</v>
      </c>
    </row>
    <row r="147" ht="13.5" customHeight="1">
      <c r="B147" s="54"/>
      <c r="C147" s="38"/>
      <c r="D147" s="55"/>
      <c r="E147" s="56"/>
      <c r="F147" s="55"/>
      <c r="G147" s="55"/>
      <c r="H147" s="56"/>
      <c r="J147" s="57" t="str">
        <f t="shared" si="1"/>
        <v>AnzoáteguiManuel Ezequiel BruzualCapital Manuel Ezequiel Bruzual</v>
      </c>
      <c r="K147" s="50" t="s">
        <v>66</v>
      </c>
      <c r="L147" s="50" t="s">
        <v>67</v>
      </c>
      <c r="M147" s="50" t="s">
        <v>281</v>
      </c>
      <c r="N147" s="50" t="s">
        <v>282</v>
      </c>
      <c r="O147" s="50" t="s">
        <v>622</v>
      </c>
      <c r="P147" s="50" t="s">
        <v>623</v>
      </c>
    </row>
    <row r="148" ht="13.5" customHeight="1">
      <c r="B148" s="54"/>
      <c r="C148" s="38"/>
      <c r="D148" s="55"/>
      <c r="E148" s="56"/>
      <c r="F148" s="55"/>
      <c r="G148" s="55"/>
      <c r="H148" s="56"/>
      <c r="J148" s="57" t="str">
        <f t="shared" si="1"/>
        <v>AnzoáteguiManuel Ezequiel BruzualGuanape</v>
      </c>
      <c r="K148" s="50" t="s">
        <v>66</v>
      </c>
      <c r="L148" s="50" t="s">
        <v>67</v>
      </c>
      <c r="M148" s="50" t="s">
        <v>281</v>
      </c>
      <c r="N148" s="50" t="s">
        <v>282</v>
      </c>
      <c r="O148" s="50" t="s">
        <v>624</v>
      </c>
      <c r="P148" s="50" t="s">
        <v>625</v>
      </c>
    </row>
    <row r="149" ht="13.5" customHeight="1">
      <c r="B149" s="54"/>
      <c r="C149" s="38"/>
      <c r="D149" s="55"/>
      <c r="E149" s="56"/>
      <c r="F149" s="55"/>
      <c r="G149" s="55"/>
      <c r="H149" s="56"/>
      <c r="J149" s="57" t="str">
        <f t="shared" si="1"/>
        <v>AnzoáteguiManuel Ezequiel BruzualSabana De Uchire</v>
      </c>
      <c r="K149" s="50" t="s">
        <v>66</v>
      </c>
      <c r="L149" s="50" t="s">
        <v>67</v>
      </c>
      <c r="M149" s="50" t="s">
        <v>281</v>
      </c>
      <c r="N149" s="50" t="s">
        <v>282</v>
      </c>
      <c r="O149" s="50" t="s">
        <v>626</v>
      </c>
      <c r="P149" s="50" t="s">
        <v>627</v>
      </c>
    </row>
    <row r="150" ht="13.5" customHeight="1">
      <c r="B150" s="54"/>
      <c r="C150" s="38"/>
      <c r="D150" s="55"/>
      <c r="E150" s="56"/>
      <c r="F150" s="55"/>
      <c r="G150" s="55"/>
      <c r="H150" s="56"/>
      <c r="J150" s="57" t="str">
        <f t="shared" si="1"/>
        <v>AnzoáteguiPedro María FreitesCapital Pedro María Freites</v>
      </c>
      <c r="K150" s="50" t="s">
        <v>66</v>
      </c>
      <c r="L150" s="50" t="s">
        <v>67</v>
      </c>
      <c r="M150" s="50" t="s">
        <v>289</v>
      </c>
      <c r="N150" s="50" t="s">
        <v>290</v>
      </c>
      <c r="O150" s="50" t="s">
        <v>628</v>
      </c>
      <c r="P150" s="50" t="s">
        <v>629</v>
      </c>
    </row>
    <row r="151" ht="13.5" customHeight="1">
      <c r="B151" s="54"/>
      <c r="C151" s="38"/>
      <c r="D151" s="55"/>
      <c r="E151" s="56"/>
      <c r="F151" s="55"/>
      <c r="G151" s="55"/>
      <c r="H151" s="56"/>
      <c r="J151" s="57" t="str">
        <f t="shared" si="1"/>
        <v>AnzoáteguiPedro María FreitesLibertador</v>
      </c>
      <c r="K151" s="50" t="s">
        <v>66</v>
      </c>
      <c r="L151" s="50" t="s">
        <v>67</v>
      </c>
      <c r="M151" s="50" t="s">
        <v>289</v>
      </c>
      <c r="N151" s="50" t="s">
        <v>290</v>
      </c>
      <c r="O151" s="50" t="s">
        <v>630</v>
      </c>
      <c r="P151" s="50" t="s">
        <v>34</v>
      </c>
    </row>
    <row r="152" ht="13.5" customHeight="1">
      <c r="B152" s="54"/>
      <c r="C152" s="38"/>
      <c r="D152" s="55"/>
      <c r="E152" s="56"/>
      <c r="F152" s="55"/>
      <c r="G152" s="55"/>
      <c r="H152" s="56"/>
      <c r="J152" s="57" t="str">
        <f t="shared" si="1"/>
        <v>AnzoáteguiPedro María FreitesSanta Rosa</v>
      </c>
      <c r="K152" s="50" t="s">
        <v>66</v>
      </c>
      <c r="L152" s="50" t="s">
        <v>67</v>
      </c>
      <c r="M152" s="50" t="s">
        <v>289</v>
      </c>
      <c r="N152" s="50" t="s">
        <v>290</v>
      </c>
      <c r="O152" s="50" t="s">
        <v>631</v>
      </c>
      <c r="P152" s="50" t="s">
        <v>632</v>
      </c>
    </row>
    <row r="153" ht="13.5" customHeight="1">
      <c r="B153" s="54"/>
      <c r="C153" s="38"/>
      <c r="D153" s="55"/>
      <c r="E153" s="56"/>
      <c r="F153" s="55"/>
      <c r="G153" s="55"/>
      <c r="H153" s="56"/>
      <c r="J153" s="57" t="str">
        <f t="shared" si="1"/>
        <v>AnzoáteguiPedro María FreitesÁrica</v>
      </c>
      <c r="K153" s="50" t="s">
        <v>66</v>
      </c>
      <c r="L153" s="50" t="s">
        <v>67</v>
      </c>
      <c r="M153" s="50" t="s">
        <v>289</v>
      </c>
      <c r="N153" s="50" t="s">
        <v>290</v>
      </c>
      <c r="O153" s="50" t="s">
        <v>633</v>
      </c>
      <c r="P153" s="50" t="s">
        <v>634</v>
      </c>
    </row>
    <row r="154" ht="13.5" customHeight="1">
      <c r="B154" s="54"/>
      <c r="C154" s="38"/>
      <c r="D154" s="55"/>
      <c r="E154" s="56"/>
      <c r="F154" s="55"/>
      <c r="G154" s="55"/>
      <c r="H154" s="56"/>
      <c r="J154" s="57" t="str">
        <f t="shared" si="1"/>
        <v>AnzoáteguiPírituCapital Piritu</v>
      </c>
      <c r="K154" s="50" t="s">
        <v>66</v>
      </c>
      <c r="L154" s="50" t="s">
        <v>67</v>
      </c>
      <c r="M154" s="50" t="s">
        <v>296</v>
      </c>
      <c r="N154" s="50" t="s">
        <v>297</v>
      </c>
      <c r="O154" s="50" t="s">
        <v>635</v>
      </c>
      <c r="P154" s="50" t="s">
        <v>636</v>
      </c>
    </row>
    <row r="155" ht="13.5" customHeight="1">
      <c r="B155" s="54"/>
      <c r="C155" s="38"/>
      <c r="D155" s="55"/>
      <c r="E155" s="56"/>
      <c r="F155" s="55"/>
      <c r="G155" s="55"/>
      <c r="H155" s="56"/>
      <c r="J155" s="57" t="str">
        <f t="shared" si="1"/>
        <v>AnzoáteguiPírituSan Francisco</v>
      </c>
      <c r="K155" s="50" t="s">
        <v>66</v>
      </c>
      <c r="L155" s="50" t="s">
        <v>67</v>
      </c>
      <c r="M155" s="50" t="s">
        <v>296</v>
      </c>
      <c r="N155" s="50" t="s">
        <v>297</v>
      </c>
      <c r="O155" s="50" t="s">
        <v>637</v>
      </c>
      <c r="P155" s="50" t="s">
        <v>638</v>
      </c>
    </row>
    <row r="156" ht="13.5" customHeight="1">
      <c r="B156" s="54"/>
      <c r="C156" s="38"/>
      <c r="D156" s="55"/>
      <c r="E156" s="56"/>
      <c r="F156" s="55"/>
      <c r="G156" s="55"/>
      <c r="H156" s="56"/>
      <c r="J156" s="57" t="str">
        <f t="shared" si="1"/>
        <v>AnzoáteguiSan José De GuanipaCapital San José De Guanipa</v>
      </c>
      <c r="K156" s="50" t="s">
        <v>66</v>
      </c>
      <c r="L156" s="50" t="s">
        <v>67</v>
      </c>
      <c r="M156" s="50" t="s">
        <v>303</v>
      </c>
      <c r="N156" s="50" t="s">
        <v>304</v>
      </c>
      <c r="O156" s="50" t="s">
        <v>639</v>
      </c>
      <c r="P156" s="50" t="s">
        <v>640</v>
      </c>
    </row>
    <row r="157" ht="13.5" customHeight="1">
      <c r="B157" s="54"/>
      <c r="C157" s="38"/>
      <c r="D157" s="55"/>
      <c r="E157" s="56"/>
      <c r="F157" s="55"/>
      <c r="G157" s="55"/>
      <c r="H157" s="56"/>
      <c r="J157" s="57" t="str">
        <f t="shared" si="1"/>
        <v>AnzoáteguiSan Juan De CapistranoCapital San Juan De Capistrano</v>
      </c>
      <c r="K157" s="50" t="s">
        <v>66</v>
      </c>
      <c r="L157" s="50" t="s">
        <v>67</v>
      </c>
      <c r="M157" s="50" t="s">
        <v>311</v>
      </c>
      <c r="N157" s="50" t="s">
        <v>312</v>
      </c>
      <c r="O157" s="50" t="s">
        <v>641</v>
      </c>
      <c r="P157" s="50" t="s">
        <v>642</v>
      </c>
    </row>
    <row r="158" ht="13.5" customHeight="1">
      <c r="B158" s="54"/>
      <c r="C158" s="38"/>
      <c r="D158" s="55"/>
      <c r="E158" s="56"/>
      <c r="F158" s="55"/>
      <c r="G158" s="55"/>
      <c r="H158" s="56"/>
      <c r="J158" s="57" t="str">
        <f t="shared" si="1"/>
        <v>AnzoáteguiSan Juan De CapistranoBoca De Chávez</v>
      </c>
      <c r="K158" s="50" t="s">
        <v>66</v>
      </c>
      <c r="L158" s="50" t="s">
        <v>67</v>
      </c>
      <c r="M158" s="50" t="s">
        <v>311</v>
      </c>
      <c r="N158" s="50" t="s">
        <v>312</v>
      </c>
      <c r="O158" s="50" t="s">
        <v>643</v>
      </c>
      <c r="P158" s="50" t="s">
        <v>644</v>
      </c>
    </row>
    <row r="159" ht="13.5" customHeight="1">
      <c r="B159" s="54"/>
      <c r="C159" s="38"/>
      <c r="D159" s="55"/>
      <c r="E159" s="56"/>
      <c r="F159" s="55"/>
      <c r="G159" s="55"/>
      <c r="H159" s="56"/>
      <c r="J159" s="57" t="str">
        <f t="shared" si="1"/>
        <v>AnzoáteguiSanta AnaSanta Ana</v>
      </c>
      <c r="K159" s="50" t="s">
        <v>66</v>
      </c>
      <c r="L159" s="50" t="s">
        <v>67</v>
      </c>
      <c r="M159" s="50" t="s">
        <v>317</v>
      </c>
      <c r="N159" s="50" t="s">
        <v>318</v>
      </c>
      <c r="O159" s="50" t="s">
        <v>645</v>
      </c>
      <c r="P159" s="50" t="s">
        <v>318</v>
      </c>
    </row>
    <row r="160" ht="13.5" customHeight="1">
      <c r="B160" s="54"/>
      <c r="C160" s="38"/>
      <c r="D160" s="55"/>
      <c r="E160" s="56"/>
      <c r="F160" s="55"/>
      <c r="G160" s="55"/>
      <c r="H160" s="56"/>
      <c r="J160" s="57" t="str">
        <f t="shared" si="1"/>
        <v>AnzoáteguiSanta AnaPueblo Nuevo</v>
      </c>
      <c r="K160" s="50" t="s">
        <v>66</v>
      </c>
      <c r="L160" s="50" t="s">
        <v>67</v>
      </c>
      <c r="M160" s="50" t="s">
        <v>317</v>
      </c>
      <c r="N160" s="50" t="s">
        <v>318</v>
      </c>
      <c r="O160" s="50" t="s">
        <v>646</v>
      </c>
      <c r="P160" s="50" t="s">
        <v>647</v>
      </c>
    </row>
    <row r="161" ht="13.5" customHeight="1">
      <c r="B161" s="54"/>
      <c r="C161" s="38"/>
      <c r="D161" s="55"/>
      <c r="E161" s="56"/>
      <c r="F161" s="55"/>
      <c r="G161" s="55"/>
      <c r="H161" s="56"/>
      <c r="J161" s="57" t="str">
        <f t="shared" si="1"/>
        <v>AnzoáteguiSimón BolívarEl Carmen</v>
      </c>
      <c r="K161" s="50" t="s">
        <v>66</v>
      </c>
      <c r="L161" s="50" t="s">
        <v>67</v>
      </c>
      <c r="M161" s="50" t="s">
        <v>323</v>
      </c>
      <c r="N161" s="50" t="s">
        <v>324</v>
      </c>
      <c r="O161" s="50" t="s">
        <v>648</v>
      </c>
      <c r="P161" s="50" t="s">
        <v>649</v>
      </c>
    </row>
    <row r="162" ht="13.5" customHeight="1">
      <c r="B162" s="54"/>
      <c r="C162" s="38"/>
      <c r="D162" s="55"/>
      <c r="E162" s="56"/>
      <c r="F162" s="55"/>
      <c r="G162" s="55"/>
      <c r="H162" s="56"/>
      <c r="J162" s="57" t="str">
        <f t="shared" si="1"/>
        <v>AnzoáteguiSimón BolívarSan Cristóbal</v>
      </c>
      <c r="K162" s="50" t="s">
        <v>66</v>
      </c>
      <c r="L162" s="50" t="s">
        <v>67</v>
      </c>
      <c r="M162" s="50" t="s">
        <v>323</v>
      </c>
      <c r="N162" s="50" t="s">
        <v>324</v>
      </c>
      <c r="O162" s="50" t="s">
        <v>650</v>
      </c>
      <c r="P162" s="50" t="s">
        <v>651</v>
      </c>
    </row>
    <row r="163" ht="13.5" customHeight="1">
      <c r="B163" s="54"/>
      <c r="C163" s="38"/>
      <c r="D163" s="55"/>
      <c r="E163" s="56"/>
      <c r="F163" s="55"/>
      <c r="G163" s="55"/>
      <c r="H163" s="56"/>
      <c r="J163" s="57" t="str">
        <f t="shared" si="1"/>
        <v>AnzoáteguiSimón BolívarBergantín</v>
      </c>
      <c r="K163" s="50" t="s">
        <v>66</v>
      </c>
      <c r="L163" s="50" t="s">
        <v>67</v>
      </c>
      <c r="M163" s="50" t="s">
        <v>323</v>
      </c>
      <c r="N163" s="50" t="s">
        <v>324</v>
      </c>
      <c r="O163" s="50" t="s">
        <v>652</v>
      </c>
      <c r="P163" s="50" t="s">
        <v>653</v>
      </c>
    </row>
    <row r="164" ht="13.5" customHeight="1">
      <c r="B164" s="54"/>
      <c r="C164" s="38"/>
      <c r="D164" s="55"/>
      <c r="E164" s="56"/>
      <c r="F164" s="55"/>
      <c r="G164" s="55"/>
      <c r="H164" s="56"/>
      <c r="J164" s="57" t="str">
        <f t="shared" si="1"/>
        <v>AnzoáteguiSimón BolívarCaigua</v>
      </c>
      <c r="K164" s="50" t="s">
        <v>66</v>
      </c>
      <c r="L164" s="50" t="s">
        <v>67</v>
      </c>
      <c r="M164" s="50" t="s">
        <v>323</v>
      </c>
      <c r="N164" s="50" t="s">
        <v>324</v>
      </c>
      <c r="O164" s="50" t="s">
        <v>654</v>
      </c>
      <c r="P164" s="50" t="s">
        <v>655</v>
      </c>
    </row>
    <row r="165" ht="13.5" customHeight="1">
      <c r="B165" s="54"/>
      <c r="C165" s="38"/>
      <c r="D165" s="55"/>
      <c r="E165" s="56"/>
      <c r="F165" s="55"/>
      <c r="G165" s="55"/>
      <c r="H165" s="56"/>
      <c r="J165" s="57" t="str">
        <f t="shared" si="1"/>
        <v>AnzoáteguiSimón BolívarEl Pilar</v>
      </c>
      <c r="K165" s="50" t="s">
        <v>66</v>
      </c>
      <c r="L165" s="50" t="s">
        <v>67</v>
      </c>
      <c r="M165" s="50" t="s">
        <v>323</v>
      </c>
      <c r="N165" s="50" t="s">
        <v>324</v>
      </c>
      <c r="O165" s="50" t="s">
        <v>656</v>
      </c>
      <c r="P165" s="50" t="s">
        <v>657</v>
      </c>
    </row>
    <row r="166" ht="13.5" customHeight="1">
      <c r="B166" s="54"/>
      <c r="C166" s="38"/>
      <c r="D166" s="55"/>
      <c r="E166" s="56"/>
      <c r="F166" s="55"/>
      <c r="G166" s="55"/>
      <c r="H166" s="56"/>
      <c r="J166" s="57" t="str">
        <f t="shared" si="1"/>
        <v>AnzoáteguiSimón BolívarNaricual</v>
      </c>
      <c r="K166" s="50" t="s">
        <v>66</v>
      </c>
      <c r="L166" s="50" t="s">
        <v>67</v>
      </c>
      <c r="M166" s="50" t="s">
        <v>323</v>
      </c>
      <c r="N166" s="50" t="s">
        <v>324</v>
      </c>
      <c r="O166" s="50" t="s">
        <v>658</v>
      </c>
      <c r="P166" s="50" t="s">
        <v>659</v>
      </c>
    </row>
    <row r="167" ht="13.5" customHeight="1">
      <c r="B167" s="54"/>
      <c r="C167" s="38"/>
      <c r="D167" s="55"/>
      <c r="E167" s="56"/>
      <c r="F167" s="55"/>
      <c r="G167" s="55"/>
      <c r="H167" s="56"/>
      <c r="J167" s="57" t="str">
        <f t="shared" si="1"/>
        <v>AnzoáteguiSimón RodríguezEdmundo Barrios</v>
      </c>
      <c r="K167" s="50" t="s">
        <v>66</v>
      </c>
      <c r="L167" s="50" t="s">
        <v>67</v>
      </c>
      <c r="M167" s="50" t="s">
        <v>329</v>
      </c>
      <c r="N167" s="50" t="s">
        <v>330</v>
      </c>
      <c r="O167" s="50" t="s">
        <v>660</v>
      </c>
      <c r="P167" s="50" t="s">
        <v>661</v>
      </c>
    </row>
    <row r="168" ht="13.5" customHeight="1">
      <c r="B168" s="54"/>
      <c r="C168" s="38"/>
      <c r="D168" s="55"/>
      <c r="E168" s="56"/>
      <c r="F168" s="55"/>
      <c r="G168" s="55"/>
      <c r="H168" s="56"/>
      <c r="J168" s="57" t="str">
        <f t="shared" si="1"/>
        <v>AnzoáteguiSimón RodríguezMiguel Otero Silva</v>
      </c>
      <c r="K168" s="50" t="s">
        <v>66</v>
      </c>
      <c r="L168" s="50" t="s">
        <v>67</v>
      </c>
      <c r="M168" s="50" t="s">
        <v>329</v>
      </c>
      <c r="N168" s="50" t="s">
        <v>330</v>
      </c>
      <c r="O168" s="50" t="s">
        <v>662</v>
      </c>
      <c r="P168" s="50" t="s">
        <v>663</v>
      </c>
    </row>
    <row r="169" ht="13.5" customHeight="1">
      <c r="B169" s="54"/>
      <c r="C169" s="38"/>
      <c r="D169" s="55"/>
      <c r="E169" s="56"/>
      <c r="F169" s="55"/>
      <c r="G169" s="55"/>
      <c r="H169" s="56"/>
      <c r="J169" s="57" t="str">
        <f t="shared" si="1"/>
        <v>AnzoáteguiSir Arthur Mc GregorCapital Sir Arthur Mc Gregor</v>
      </c>
      <c r="K169" s="50" t="s">
        <v>66</v>
      </c>
      <c r="L169" s="50" t="s">
        <v>67</v>
      </c>
      <c r="M169" s="50" t="s">
        <v>336</v>
      </c>
      <c r="N169" s="50" t="s">
        <v>337</v>
      </c>
      <c r="O169" s="50" t="s">
        <v>664</v>
      </c>
      <c r="P169" s="50" t="s">
        <v>665</v>
      </c>
    </row>
    <row r="170" ht="13.5" customHeight="1">
      <c r="B170" s="54"/>
      <c r="C170" s="38"/>
      <c r="D170" s="55"/>
      <c r="E170" s="56"/>
      <c r="F170" s="55"/>
      <c r="G170" s="55"/>
      <c r="H170" s="56"/>
      <c r="J170" s="57" t="str">
        <f t="shared" si="1"/>
        <v>AnzoáteguiSir Arthur Mc GregorTomas Alfaro Calatrava</v>
      </c>
      <c r="K170" s="50" t="s">
        <v>66</v>
      </c>
      <c r="L170" s="50" t="s">
        <v>67</v>
      </c>
      <c r="M170" s="50" t="s">
        <v>336</v>
      </c>
      <c r="N170" s="50" t="s">
        <v>337</v>
      </c>
      <c r="O170" s="50" t="s">
        <v>666</v>
      </c>
      <c r="P170" s="50" t="s">
        <v>667</v>
      </c>
    </row>
    <row r="171" ht="13.5" customHeight="1">
      <c r="B171" s="54"/>
      <c r="C171" s="38"/>
      <c r="D171" s="55"/>
      <c r="E171" s="56"/>
      <c r="F171" s="55"/>
      <c r="G171" s="55"/>
      <c r="H171" s="56"/>
      <c r="J171" s="57" t="str">
        <f t="shared" si="1"/>
        <v>AnzoáteguiDiego Bautista UrbanejaCapital Diego Bautista Urbaneja</v>
      </c>
      <c r="K171" s="50" t="s">
        <v>66</v>
      </c>
      <c r="L171" s="50" t="s">
        <v>67</v>
      </c>
      <c r="M171" s="50" t="s">
        <v>342</v>
      </c>
      <c r="N171" s="50" t="s">
        <v>343</v>
      </c>
      <c r="O171" s="50" t="s">
        <v>668</v>
      </c>
      <c r="P171" s="50" t="s">
        <v>669</v>
      </c>
    </row>
    <row r="172" ht="13.5" customHeight="1">
      <c r="B172" s="54"/>
      <c r="C172" s="38"/>
      <c r="D172" s="55"/>
      <c r="E172" s="56"/>
      <c r="F172" s="55"/>
      <c r="G172" s="55"/>
      <c r="H172" s="56"/>
      <c r="J172" s="57" t="str">
        <f t="shared" si="1"/>
        <v>AnzoáteguiDiego Bautista UrbanejaEl Morro</v>
      </c>
      <c r="K172" s="50" t="s">
        <v>66</v>
      </c>
      <c r="L172" s="50" t="s">
        <v>67</v>
      </c>
      <c r="M172" s="50" t="s">
        <v>342</v>
      </c>
      <c r="N172" s="50" t="s">
        <v>343</v>
      </c>
      <c r="O172" s="50" t="s">
        <v>670</v>
      </c>
      <c r="P172" s="50" t="s">
        <v>671</v>
      </c>
    </row>
    <row r="173" ht="13.5" customHeight="1">
      <c r="B173" s="54"/>
      <c r="C173" s="38"/>
      <c r="D173" s="55"/>
      <c r="E173" s="56"/>
      <c r="F173" s="55"/>
      <c r="G173" s="55"/>
      <c r="H173" s="56"/>
      <c r="J173" s="57" t="str">
        <f t="shared" si="1"/>
        <v>ApureAchaguasUrbana Achaguas</v>
      </c>
      <c r="K173" s="50" t="s">
        <v>83</v>
      </c>
      <c r="L173" s="50" t="s">
        <v>84</v>
      </c>
      <c r="M173" s="50" t="s">
        <v>347</v>
      </c>
      <c r="N173" s="50" t="s">
        <v>348</v>
      </c>
      <c r="O173" s="50" t="s">
        <v>672</v>
      </c>
      <c r="P173" s="50" t="s">
        <v>673</v>
      </c>
    </row>
    <row r="174" ht="13.5" customHeight="1">
      <c r="B174" s="54"/>
      <c r="C174" s="38"/>
      <c r="D174" s="55"/>
      <c r="E174" s="56"/>
      <c r="F174" s="55"/>
      <c r="G174" s="55"/>
      <c r="H174" s="56"/>
      <c r="J174" s="57" t="str">
        <f t="shared" si="1"/>
        <v>ApureAchaguasApurito</v>
      </c>
      <c r="K174" s="50" t="s">
        <v>83</v>
      </c>
      <c r="L174" s="50" t="s">
        <v>84</v>
      </c>
      <c r="M174" s="50" t="s">
        <v>347</v>
      </c>
      <c r="N174" s="50" t="s">
        <v>348</v>
      </c>
      <c r="O174" s="50" t="s">
        <v>674</v>
      </c>
      <c r="P174" s="50" t="s">
        <v>675</v>
      </c>
    </row>
    <row r="175" ht="13.5" customHeight="1">
      <c r="B175" s="54"/>
      <c r="C175" s="38"/>
      <c r="D175" s="55"/>
      <c r="E175" s="56"/>
      <c r="F175" s="55"/>
      <c r="G175" s="55"/>
      <c r="H175" s="56"/>
      <c r="J175" s="57" t="str">
        <f t="shared" si="1"/>
        <v>ApureAchaguasEl Yagual</v>
      </c>
      <c r="K175" s="50" t="s">
        <v>83</v>
      </c>
      <c r="L175" s="50" t="s">
        <v>84</v>
      </c>
      <c r="M175" s="50" t="s">
        <v>347</v>
      </c>
      <c r="N175" s="50" t="s">
        <v>348</v>
      </c>
      <c r="O175" s="50" t="s">
        <v>676</v>
      </c>
      <c r="P175" s="50" t="s">
        <v>677</v>
      </c>
    </row>
    <row r="176" ht="13.5" customHeight="1">
      <c r="B176" s="54"/>
      <c r="C176" s="38"/>
      <c r="D176" s="55"/>
      <c r="E176" s="56"/>
      <c r="F176" s="55"/>
      <c r="G176" s="55"/>
      <c r="H176" s="56"/>
      <c r="J176" s="57" t="str">
        <f t="shared" si="1"/>
        <v>ApureAchaguasGuachara</v>
      </c>
      <c r="K176" s="50" t="s">
        <v>83</v>
      </c>
      <c r="L176" s="50" t="s">
        <v>84</v>
      </c>
      <c r="M176" s="50" t="s">
        <v>347</v>
      </c>
      <c r="N176" s="50" t="s">
        <v>348</v>
      </c>
      <c r="O176" s="50" t="s">
        <v>678</v>
      </c>
      <c r="P176" s="50" t="s">
        <v>679</v>
      </c>
    </row>
    <row r="177" ht="13.5" customHeight="1">
      <c r="B177" s="54"/>
      <c r="C177" s="38"/>
      <c r="D177" s="55"/>
      <c r="E177" s="56"/>
      <c r="F177" s="55"/>
      <c r="G177" s="55"/>
      <c r="H177" s="56"/>
      <c r="J177" s="57" t="str">
        <f t="shared" si="1"/>
        <v>ApureAchaguasMucuritas</v>
      </c>
      <c r="K177" s="50" t="s">
        <v>83</v>
      </c>
      <c r="L177" s="50" t="s">
        <v>84</v>
      </c>
      <c r="M177" s="50" t="s">
        <v>347</v>
      </c>
      <c r="N177" s="50" t="s">
        <v>348</v>
      </c>
      <c r="O177" s="50" t="s">
        <v>680</v>
      </c>
      <c r="P177" s="50" t="s">
        <v>681</v>
      </c>
    </row>
    <row r="178" ht="13.5" customHeight="1">
      <c r="B178" s="54"/>
      <c r="C178" s="38"/>
      <c r="D178" s="55"/>
      <c r="E178" s="56"/>
      <c r="F178" s="55"/>
      <c r="G178" s="55"/>
      <c r="H178" s="56"/>
      <c r="J178" s="57" t="str">
        <f t="shared" si="1"/>
        <v>ApureAchaguasQueseras Del Medio</v>
      </c>
      <c r="K178" s="50" t="s">
        <v>83</v>
      </c>
      <c r="L178" s="50" t="s">
        <v>84</v>
      </c>
      <c r="M178" s="50" t="s">
        <v>347</v>
      </c>
      <c r="N178" s="50" t="s">
        <v>348</v>
      </c>
      <c r="O178" s="50" t="s">
        <v>682</v>
      </c>
      <c r="P178" s="50" t="s">
        <v>683</v>
      </c>
    </row>
    <row r="179" ht="13.5" customHeight="1">
      <c r="B179" s="54"/>
      <c r="C179" s="38"/>
      <c r="D179" s="55"/>
      <c r="E179" s="56"/>
      <c r="F179" s="55"/>
      <c r="G179" s="55"/>
      <c r="H179" s="56"/>
      <c r="J179" s="57" t="str">
        <f t="shared" si="1"/>
        <v>ApureBiruacaUrbana Biruaca</v>
      </c>
      <c r="K179" s="50" t="s">
        <v>83</v>
      </c>
      <c r="L179" s="50" t="s">
        <v>84</v>
      </c>
      <c r="M179" s="50" t="s">
        <v>352</v>
      </c>
      <c r="N179" s="50" t="s">
        <v>353</v>
      </c>
      <c r="O179" s="50" t="s">
        <v>684</v>
      </c>
      <c r="P179" s="50" t="s">
        <v>685</v>
      </c>
    </row>
    <row r="180" ht="13.5" customHeight="1">
      <c r="B180" s="54"/>
      <c r="C180" s="38"/>
      <c r="D180" s="55"/>
      <c r="E180" s="56"/>
      <c r="F180" s="55"/>
      <c r="G180" s="55"/>
      <c r="H180" s="56"/>
      <c r="J180" s="57" t="str">
        <f t="shared" si="1"/>
        <v>ApureMuñozUrbana Bruzual</v>
      </c>
      <c r="K180" s="50" t="s">
        <v>83</v>
      </c>
      <c r="L180" s="50" t="s">
        <v>84</v>
      </c>
      <c r="M180" s="50" t="s">
        <v>358</v>
      </c>
      <c r="N180" s="50" t="s">
        <v>359</v>
      </c>
      <c r="O180" s="50" t="s">
        <v>686</v>
      </c>
      <c r="P180" s="50" t="s">
        <v>687</v>
      </c>
    </row>
    <row r="181" ht="13.5" customHeight="1">
      <c r="B181" s="54"/>
      <c r="C181" s="38"/>
      <c r="D181" s="55"/>
      <c r="E181" s="56"/>
      <c r="F181" s="55"/>
      <c r="G181" s="55"/>
      <c r="H181" s="56"/>
      <c r="J181" s="57" t="str">
        <f t="shared" si="1"/>
        <v>ApureMuñozMantecal</v>
      </c>
      <c r="K181" s="50" t="s">
        <v>83</v>
      </c>
      <c r="L181" s="50" t="s">
        <v>84</v>
      </c>
      <c r="M181" s="50" t="s">
        <v>358</v>
      </c>
      <c r="N181" s="50" t="s">
        <v>359</v>
      </c>
      <c r="O181" s="50" t="s">
        <v>688</v>
      </c>
      <c r="P181" s="50" t="s">
        <v>689</v>
      </c>
    </row>
    <row r="182" ht="13.5" customHeight="1">
      <c r="B182" s="54"/>
      <c r="C182" s="38"/>
      <c r="D182" s="55"/>
      <c r="E182" s="56"/>
      <c r="F182" s="55"/>
      <c r="G182" s="55"/>
      <c r="H182" s="56"/>
      <c r="J182" s="57" t="str">
        <f t="shared" si="1"/>
        <v>ApureMuñozQuintero</v>
      </c>
      <c r="K182" s="50" t="s">
        <v>83</v>
      </c>
      <c r="L182" s="50" t="s">
        <v>84</v>
      </c>
      <c r="M182" s="50" t="s">
        <v>358</v>
      </c>
      <c r="N182" s="50" t="s">
        <v>359</v>
      </c>
      <c r="O182" s="50" t="s">
        <v>690</v>
      </c>
      <c r="P182" s="50" t="s">
        <v>691</v>
      </c>
    </row>
    <row r="183" ht="13.5" customHeight="1">
      <c r="B183" s="54"/>
      <c r="C183" s="38"/>
      <c r="D183" s="55"/>
      <c r="E183" s="56"/>
      <c r="F183" s="55"/>
      <c r="G183" s="55"/>
      <c r="H183" s="56"/>
      <c r="J183" s="57" t="str">
        <f t="shared" si="1"/>
        <v>ApureMuñozRincón Hondo</v>
      </c>
      <c r="K183" s="50" t="s">
        <v>83</v>
      </c>
      <c r="L183" s="50" t="s">
        <v>84</v>
      </c>
      <c r="M183" s="50" t="s">
        <v>358</v>
      </c>
      <c r="N183" s="50" t="s">
        <v>359</v>
      </c>
      <c r="O183" s="50" t="s">
        <v>692</v>
      </c>
      <c r="P183" s="50" t="s">
        <v>693</v>
      </c>
    </row>
    <row r="184" ht="13.5" customHeight="1">
      <c r="B184" s="54"/>
      <c r="C184" s="38"/>
      <c r="D184" s="55"/>
      <c r="E184" s="56"/>
      <c r="F184" s="55"/>
      <c r="G184" s="55"/>
      <c r="H184" s="56"/>
      <c r="J184" s="57" t="str">
        <f t="shared" si="1"/>
        <v>ApureMuñozSan Vicente</v>
      </c>
      <c r="K184" s="50" t="s">
        <v>83</v>
      </c>
      <c r="L184" s="50" t="s">
        <v>84</v>
      </c>
      <c r="M184" s="50" t="s">
        <v>358</v>
      </c>
      <c r="N184" s="50" t="s">
        <v>359</v>
      </c>
      <c r="O184" s="50" t="s">
        <v>694</v>
      </c>
      <c r="P184" s="50" t="s">
        <v>695</v>
      </c>
    </row>
    <row r="185" ht="13.5" customHeight="1">
      <c r="B185" s="54"/>
      <c r="C185" s="38"/>
      <c r="D185" s="55"/>
      <c r="E185" s="56"/>
      <c r="F185" s="55"/>
      <c r="G185" s="55"/>
      <c r="H185" s="56"/>
      <c r="J185" s="57" t="str">
        <f t="shared" si="1"/>
        <v>ApurePáezUrbana Guasdualito</v>
      </c>
      <c r="K185" s="50" t="s">
        <v>83</v>
      </c>
      <c r="L185" s="50" t="s">
        <v>84</v>
      </c>
      <c r="M185" s="50" t="s">
        <v>364</v>
      </c>
      <c r="N185" s="50" t="s">
        <v>365</v>
      </c>
      <c r="O185" s="50" t="s">
        <v>696</v>
      </c>
      <c r="P185" s="50" t="s">
        <v>697</v>
      </c>
    </row>
    <row r="186" ht="13.5" customHeight="1">
      <c r="B186" s="54"/>
      <c r="C186" s="38"/>
      <c r="D186" s="55"/>
      <c r="E186" s="56"/>
      <c r="F186" s="55"/>
      <c r="G186" s="55"/>
      <c r="H186" s="56"/>
      <c r="J186" s="57" t="str">
        <f t="shared" si="1"/>
        <v>ApurePáezArismendi</v>
      </c>
      <c r="K186" s="50" t="s">
        <v>83</v>
      </c>
      <c r="L186" s="50" t="s">
        <v>84</v>
      </c>
      <c r="M186" s="50" t="s">
        <v>364</v>
      </c>
      <c r="N186" s="50" t="s">
        <v>365</v>
      </c>
      <c r="O186" s="50" t="s">
        <v>698</v>
      </c>
      <c r="P186" s="50" t="s">
        <v>469</v>
      </c>
    </row>
    <row r="187" ht="13.5" customHeight="1">
      <c r="B187" s="54"/>
      <c r="C187" s="38"/>
      <c r="D187" s="55"/>
      <c r="E187" s="56"/>
      <c r="F187" s="55"/>
      <c r="G187" s="55"/>
      <c r="H187" s="56"/>
      <c r="J187" s="57" t="str">
        <f t="shared" si="1"/>
        <v>ApurePáezEl Amparo</v>
      </c>
      <c r="K187" s="50" t="s">
        <v>83</v>
      </c>
      <c r="L187" s="50" t="s">
        <v>84</v>
      </c>
      <c r="M187" s="50" t="s">
        <v>364</v>
      </c>
      <c r="N187" s="50" t="s">
        <v>365</v>
      </c>
      <c r="O187" s="50" t="s">
        <v>699</v>
      </c>
      <c r="P187" s="50" t="s">
        <v>700</v>
      </c>
    </row>
    <row r="188" ht="13.5" customHeight="1">
      <c r="B188" s="54"/>
      <c r="C188" s="38"/>
      <c r="D188" s="55"/>
      <c r="E188" s="56"/>
      <c r="F188" s="55"/>
      <c r="G188" s="55"/>
      <c r="H188" s="56"/>
      <c r="J188" s="57" t="str">
        <f t="shared" si="1"/>
        <v>ApurePáezSan Camilo</v>
      </c>
      <c r="K188" s="50" t="s">
        <v>83</v>
      </c>
      <c r="L188" s="50" t="s">
        <v>84</v>
      </c>
      <c r="M188" s="50" t="s">
        <v>364</v>
      </c>
      <c r="N188" s="50" t="s">
        <v>365</v>
      </c>
      <c r="O188" s="50" t="s">
        <v>701</v>
      </c>
      <c r="P188" s="50" t="s">
        <v>702</v>
      </c>
    </row>
    <row r="189" ht="13.5" customHeight="1">
      <c r="B189" s="54"/>
      <c r="C189" s="38"/>
      <c r="D189" s="55"/>
      <c r="E189" s="56"/>
      <c r="F189" s="55"/>
      <c r="G189" s="55"/>
      <c r="H189" s="56"/>
      <c r="J189" s="57" t="str">
        <f t="shared" si="1"/>
        <v>ApurePáezUrdaneta</v>
      </c>
      <c r="K189" s="50" t="s">
        <v>83</v>
      </c>
      <c r="L189" s="50" t="s">
        <v>84</v>
      </c>
      <c r="M189" s="50" t="s">
        <v>364</v>
      </c>
      <c r="N189" s="50" t="s">
        <v>365</v>
      </c>
      <c r="O189" s="50" t="s">
        <v>703</v>
      </c>
      <c r="P189" s="50" t="s">
        <v>434</v>
      </c>
    </row>
    <row r="190" ht="13.5" customHeight="1">
      <c r="B190" s="54"/>
      <c r="C190" s="38"/>
      <c r="D190" s="55"/>
      <c r="E190" s="56"/>
      <c r="F190" s="55"/>
      <c r="G190" s="55"/>
      <c r="H190" s="56"/>
      <c r="J190" s="57" t="str">
        <f t="shared" si="1"/>
        <v>ApurePedro CamejoSan Juan De Payara</v>
      </c>
      <c r="K190" s="50" t="s">
        <v>83</v>
      </c>
      <c r="L190" s="50" t="s">
        <v>84</v>
      </c>
      <c r="M190" s="50" t="s">
        <v>370</v>
      </c>
      <c r="N190" s="50" t="s">
        <v>371</v>
      </c>
      <c r="O190" s="50" t="s">
        <v>704</v>
      </c>
      <c r="P190" s="50" t="s">
        <v>705</v>
      </c>
    </row>
    <row r="191" ht="13.5" customHeight="1">
      <c r="B191" s="54"/>
      <c r="C191" s="38"/>
      <c r="D191" s="55"/>
      <c r="E191" s="56"/>
      <c r="F191" s="55"/>
      <c r="G191" s="55"/>
      <c r="H191" s="56"/>
      <c r="J191" s="57" t="str">
        <f t="shared" si="1"/>
        <v>ApurePedro CamejoCodazzi</v>
      </c>
      <c r="K191" s="50" t="s">
        <v>83</v>
      </c>
      <c r="L191" s="50" t="s">
        <v>84</v>
      </c>
      <c r="M191" s="50" t="s">
        <v>370</v>
      </c>
      <c r="N191" s="50" t="s">
        <v>371</v>
      </c>
      <c r="O191" s="50" t="s">
        <v>706</v>
      </c>
      <c r="P191" s="50" t="s">
        <v>707</v>
      </c>
    </row>
    <row r="192" ht="13.5" customHeight="1">
      <c r="B192" s="54"/>
      <c r="C192" s="38"/>
      <c r="D192" s="55"/>
      <c r="E192" s="56"/>
      <c r="F192" s="55"/>
      <c r="G192" s="55"/>
      <c r="H192" s="56"/>
      <c r="J192" s="57" t="str">
        <f t="shared" si="1"/>
        <v>ApurePedro CamejoCunaviche</v>
      </c>
      <c r="K192" s="50" t="s">
        <v>83</v>
      </c>
      <c r="L192" s="50" t="s">
        <v>84</v>
      </c>
      <c r="M192" s="50" t="s">
        <v>370</v>
      </c>
      <c r="N192" s="50" t="s">
        <v>371</v>
      </c>
      <c r="O192" s="50" t="s">
        <v>708</v>
      </c>
      <c r="P192" s="50" t="s">
        <v>709</v>
      </c>
    </row>
    <row r="193" ht="13.5" customHeight="1">
      <c r="B193" s="54"/>
      <c r="C193" s="38"/>
      <c r="D193" s="55"/>
      <c r="E193" s="56"/>
      <c r="F193" s="55"/>
      <c r="G193" s="55"/>
      <c r="H193" s="56"/>
      <c r="J193" s="57" t="str">
        <f t="shared" si="1"/>
        <v>ApureRómulo GallegosUrbana Elorza</v>
      </c>
      <c r="K193" s="50" t="s">
        <v>83</v>
      </c>
      <c r="L193" s="50" t="s">
        <v>84</v>
      </c>
      <c r="M193" s="50" t="s">
        <v>376</v>
      </c>
      <c r="N193" s="50" t="s">
        <v>377</v>
      </c>
      <c r="O193" s="50" t="s">
        <v>710</v>
      </c>
      <c r="P193" s="50" t="s">
        <v>711</v>
      </c>
    </row>
    <row r="194" ht="13.5" customHeight="1">
      <c r="B194" s="54"/>
      <c r="C194" s="38"/>
      <c r="D194" s="55"/>
      <c r="E194" s="56"/>
      <c r="F194" s="55"/>
      <c r="G194" s="55"/>
      <c r="H194" s="56"/>
      <c r="J194" s="57" t="str">
        <f t="shared" si="1"/>
        <v>ApureRómulo GallegosLa Trinidad</v>
      </c>
      <c r="K194" s="50" t="s">
        <v>83</v>
      </c>
      <c r="L194" s="50" t="s">
        <v>84</v>
      </c>
      <c r="M194" s="50" t="s">
        <v>376</v>
      </c>
      <c r="N194" s="50" t="s">
        <v>377</v>
      </c>
      <c r="O194" s="50" t="s">
        <v>712</v>
      </c>
      <c r="P194" s="50" t="s">
        <v>520</v>
      </c>
    </row>
    <row r="195" ht="13.5" customHeight="1">
      <c r="B195" s="54"/>
      <c r="C195" s="38"/>
      <c r="D195" s="55"/>
      <c r="E195" s="56"/>
      <c r="F195" s="55"/>
      <c r="G195" s="55"/>
      <c r="H195" s="56"/>
      <c r="J195" s="57" t="str">
        <f t="shared" si="1"/>
        <v>ApureSan FernandoUrbana San Fernando De Apure</v>
      </c>
      <c r="K195" s="50" t="s">
        <v>83</v>
      </c>
      <c r="L195" s="50" t="s">
        <v>84</v>
      </c>
      <c r="M195" s="50" t="s">
        <v>380</v>
      </c>
      <c r="N195" s="50" t="s">
        <v>381</v>
      </c>
      <c r="O195" s="50" t="s">
        <v>713</v>
      </c>
      <c r="P195" s="50" t="s">
        <v>714</v>
      </c>
    </row>
    <row r="196" ht="13.5" customHeight="1">
      <c r="B196" s="54"/>
      <c r="C196" s="38"/>
      <c r="D196" s="55"/>
      <c r="E196" s="56"/>
      <c r="F196" s="55"/>
      <c r="G196" s="55"/>
      <c r="H196" s="56"/>
      <c r="J196" s="57" t="str">
        <f t="shared" si="1"/>
        <v>ApureSan FernandoEl Recreo</v>
      </c>
      <c r="K196" s="50" t="s">
        <v>83</v>
      </c>
      <c r="L196" s="50" t="s">
        <v>84</v>
      </c>
      <c r="M196" s="50" t="s">
        <v>380</v>
      </c>
      <c r="N196" s="50" t="s">
        <v>381</v>
      </c>
      <c r="O196" s="50" t="s">
        <v>715</v>
      </c>
      <c r="P196" s="50" t="s">
        <v>161</v>
      </c>
    </row>
    <row r="197" ht="13.5" customHeight="1">
      <c r="B197" s="54"/>
      <c r="C197" s="38"/>
      <c r="D197" s="55"/>
      <c r="E197" s="56"/>
      <c r="F197" s="55"/>
      <c r="G197" s="55"/>
      <c r="H197" s="56"/>
      <c r="J197" s="57" t="str">
        <f t="shared" si="1"/>
        <v>ApureSan FernandoPeñalver</v>
      </c>
      <c r="K197" s="50" t="s">
        <v>83</v>
      </c>
      <c r="L197" s="50" t="s">
        <v>84</v>
      </c>
      <c r="M197" s="50" t="s">
        <v>380</v>
      </c>
      <c r="N197" s="50" t="s">
        <v>381</v>
      </c>
      <c r="O197" s="50" t="s">
        <v>716</v>
      </c>
      <c r="P197" s="50" t="s">
        <v>717</v>
      </c>
    </row>
    <row r="198" ht="13.5" customHeight="1">
      <c r="B198" s="54"/>
      <c r="C198" s="38"/>
      <c r="D198" s="55"/>
      <c r="E198" s="56"/>
      <c r="F198" s="55"/>
      <c r="G198" s="55"/>
      <c r="H198" s="56"/>
      <c r="J198" s="57" t="str">
        <f t="shared" si="1"/>
        <v>ApureSan FernandoSan Rafael De Atamaica</v>
      </c>
      <c r="K198" s="50" t="s">
        <v>83</v>
      </c>
      <c r="L198" s="50" t="s">
        <v>84</v>
      </c>
      <c r="M198" s="50" t="s">
        <v>380</v>
      </c>
      <c r="N198" s="50" t="s">
        <v>381</v>
      </c>
      <c r="O198" s="50" t="s">
        <v>718</v>
      </c>
      <c r="P198" s="50" t="s">
        <v>719</v>
      </c>
    </row>
    <row r="199" ht="13.5" customHeight="1">
      <c r="B199" s="54"/>
      <c r="C199" s="38"/>
      <c r="D199" s="55"/>
      <c r="E199" s="56"/>
      <c r="F199" s="55"/>
      <c r="G199" s="55"/>
      <c r="H199" s="56"/>
      <c r="J199" s="57" t="str">
        <f t="shared" si="1"/>
        <v>AraguaBolívarCapital Bolívar</v>
      </c>
      <c r="K199" s="50" t="s">
        <v>99</v>
      </c>
      <c r="L199" s="50" t="s">
        <v>100</v>
      </c>
      <c r="M199" s="50" t="s">
        <v>384</v>
      </c>
      <c r="N199" s="50" t="s">
        <v>129</v>
      </c>
      <c r="O199" s="50" t="s">
        <v>720</v>
      </c>
      <c r="P199" s="50" t="s">
        <v>721</v>
      </c>
    </row>
    <row r="200" ht="13.5" customHeight="1">
      <c r="B200" s="54"/>
      <c r="C200" s="38"/>
      <c r="D200" s="55"/>
      <c r="E200" s="56"/>
      <c r="F200" s="55"/>
      <c r="G200" s="55"/>
      <c r="H200" s="56"/>
      <c r="J200" s="57" t="str">
        <f t="shared" si="1"/>
        <v>AraguaCamataguaCamatagua</v>
      </c>
      <c r="K200" s="50" t="s">
        <v>99</v>
      </c>
      <c r="L200" s="50" t="s">
        <v>100</v>
      </c>
      <c r="M200" s="50" t="s">
        <v>387</v>
      </c>
      <c r="N200" s="50" t="s">
        <v>388</v>
      </c>
      <c r="O200" s="50" t="s">
        <v>722</v>
      </c>
      <c r="P200" s="50" t="s">
        <v>388</v>
      </c>
    </row>
    <row r="201" ht="13.5" customHeight="1">
      <c r="B201" s="54"/>
      <c r="C201" s="38"/>
      <c r="D201" s="55"/>
      <c r="E201" s="56"/>
      <c r="F201" s="55"/>
      <c r="G201" s="55"/>
      <c r="H201" s="56"/>
      <c r="J201" s="57" t="str">
        <f t="shared" si="1"/>
        <v>AraguaCamataguaNo Urbana Carmen De Cura</v>
      </c>
      <c r="K201" s="50" t="s">
        <v>99</v>
      </c>
      <c r="L201" s="50" t="s">
        <v>100</v>
      </c>
      <c r="M201" s="50" t="s">
        <v>387</v>
      </c>
      <c r="N201" s="50" t="s">
        <v>388</v>
      </c>
      <c r="O201" s="50" t="s">
        <v>723</v>
      </c>
      <c r="P201" s="50" t="s">
        <v>724</v>
      </c>
    </row>
    <row r="202" ht="13.5" customHeight="1">
      <c r="B202" s="54"/>
      <c r="C202" s="38"/>
      <c r="D202" s="55"/>
      <c r="E202" s="56"/>
      <c r="F202" s="55"/>
      <c r="G202" s="55"/>
      <c r="H202" s="56"/>
      <c r="J202" s="57" t="str">
        <f t="shared" si="1"/>
        <v>AraguaGirardotNo Urbana Choroni</v>
      </c>
      <c r="K202" s="50" t="s">
        <v>99</v>
      </c>
      <c r="L202" s="50" t="s">
        <v>100</v>
      </c>
      <c r="M202" s="50" t="s">
        <v>391</v>
      </c>
      <c r="N202" s="50" t="s">
        <v>392</v>
      </c>
      <c r="O202" s="50" t="s">
        <v>725</v>
      </c>
      <c r="P202" s="50" t="s">
        <v>726</v>
      </c>
    </row>
    <row r="203" ht="13.5" customHeight="1">
      <c r="B203" s="54"/>
      <c r="C203" s="38"/>
      <c r="D203" s="55"/>
      <c r="E203" s="56"/>
      <c r="F203" s="55"/>
      <c r="G203" s="55"/>
      <c r="H203" s="56"/>
      <c r="J203" s="57" t="str">
        <f t="shared" si="1"/>
        <v>AraguaGirardotUrbana Las Delicias</v>
      </c>
      <c r="K203" s="50" t="s">
        <v>99</v>
      </c>
      <c r="L203" s="50" t="s">
        <v>100</v>
      </c>
      <c r="M203" s="50" t="s">
        <v>391</v>
      </c>
      <c r="N203" s="50" t="s">
        <v>392</v>
      </c>
      <c r="O203" s="50" t="s">
        <v>727</v>
      </c>
      <c r="P203" s="50" t="s">
        <v>728</v>
      </c>
    </row>
    <row r="204" ht="13.5" customHeight="1">
      <c r="B204" s="54"/>
      <c r="C204" s="38"/>
      <c r="D204" s="55"/>
      <c r="E204" s="56"/>
      <c r="F204" s="55"/>
      <c r="G204" s="55"/>
      <c r="H204" s="56"/>
      <c r="J204" s="57" t="str">
        <f t="shared" si="1"/>
        <v>AraguaGirardotUrbana Madre María De San José</v>
      </c>
      <c r="K204" s="50" t="s">
        <v>99</v>
      </c>
      <c r="L204" s="50" t="s">
        <v>100</v>
      </c>
      <c r="M204" s="50" t="s">
        <v>391</v>
      </c>
      <c r="N204" s="50" t="s">
        <v>392</v>
      </c>
      <c r="O204" s="50" t="s">
        <v>729</v>
      </c>
      <c r="P204" s="50" t="s">
        <v>730</v>
      </c>
    </row>
    <row r="205" ht="13.5" customHeight="1">
      <c r="B205" s="54"/>
      <c r="C205" s="38"/>
      <c r="D205" s="55"/>
      <c r="E205" s="56"/>
      <c r="F205" s="55"/>
      <c r="G205" s="55"/>
      <c r="H205" s="56"/>
      <c r="J205" s="57" t="str">
        <f t="shared" si="1"/>
        <v>AraguaGirardotUrbana Joaquín Crespo</v>
      </c>
      <c r="K205" s="50" t="s">
        <v>99</v>
      </c>
      <c r="L205" s="50" t="s">
        <v>100</v>
      </c>
      <c r="M205" s="50" t="s">
        <v>391</v>
      </c>
      <c r="N205" s="50" t="s">
        <v>392</v>
      </c>
      <c r="O205" s="50" t="s">
        <v>731</v>
      </c>
      <c r="P205" s="50" t="s">
        <v>732</v>
      </c>
    </row>
    <row r="206" ht="13.5" customHeight="1">
      <c r="B206" s="54"/>
      <c r="C206" s="38"/>
      <c r="D206" s="55"/>
      <c r="E206" s="56"/>
      <c r="F206" s="55"/>
      <c r="G206" s="55"/>
      <c r="H206" s="56"/>
      <c r="J206" s="57" t="str">
        <f t="shared" si="1"/>
        <v>AraguaGirardotUrbana Pedro José Ovalles</v>
      </c>
      <c r="K206" s="50" t="s">
        <v>99</v>
      </c>
      <c r="L206" s="50" t="s">
        <v>100</v>
      </c>
      <c r="M206" s="50" t="s">
        <v>391</v>
      </c>
      <c r="N206" s="50" t="s">
        <v>392</v>
      </c>
      <c r="O206" s="50" t="s">
        <v>733</v>
      </c>
      <c r="P206" s="50" t="s">
        <v>734</v>
      </c>
    </row>
    <row r="207" ht="13.5" customHeight="1">
      <c r="B207" s="54"/>
      <c r="C207" s="38"/>
      <c r="D207" s="55"/>
      <c r="E207" s="56"/>
      <c r="F207" s="55"/>
      <c r="G207" s="55"/>
      <c r="H207" s="56"/>
      <c r="J207" s="57" t="str">
        <f t="shared" si="1"/>
        <v>AraguaGirardotUrbana José Casanova Godoy</v>
      </c>
      <c r="K207" s="50" t="s">
        <v>99</v>
      </c>
      <c r="L207" s="50" t="s">
        <v>100</v>
      </c>
      <c r="M207" s="50" t="s">
        <v>391</v>
      </c>
      <c r="N207" s="50" t="s">
        <v>392</v>
      </c>
      <c r="O207" s="50" t="s">
        <v>735</v>
      </c>
      <c r="P207" s="50" t="s">
        <v>736</v>
      </c>
    </row>
    <row r="208" ht="13.5" customHeight="1">
      <c r="B208" s="54"/>
      <c r="C208" s="38"/>
      <c r="D208" s="55"/>
      <c r="E208" s="56"/>
      <c r="F208" s="55"/>
      <c r="G208" s="55"/>
      <c r="H208" s="56"/>
      <c r="J208" s="57" t="str">
        <f t="shared" si="1"/>
        <v>AraguaGirardotUrbana Andrés Eloy Blanco</v>
      </c>
      <c r="K208" s="50" t="s">
        <v>99</v>
      </c>
      <c r="L208" s="50" t="s">
        <v>100</v>
      </c>
      <c r="M208" s="50" t="s">
        <v>391</v>
      </c>
      <c r="N208" s="50" t="s">
        <v>392</v>
      </c>
      <c r="O208" s="50" t="s">
        <v>737</v>
      </c>
      <c r="P208" s="50" t="s">
        <v>738</v>
      </c>
    </row>
    <row r="209" ht="13.5" customHeight="1">
      <c r="B209" s="54"/>
      <c r="C209" s="38"/>
      <c r="D209" s="55"/>
      <c r="E209" s="56"/>
      <c r="F209" s="55"/>
      <c r="G209" s="55"/>
      <c r="H209" s="56"/>
      <c r="J209" s="57" t="str">
        <f t="shared" si="1"/>
        <v>AraguaGirardotUrbana Los Tacariguas</v>
      </c>
      <c r="K209" s="50" t="s">
        <v>99</v>
      </c>
      <c r="L209" s="50" t="s">
        <v>100</v>
      </c>
      <c r="M209" s="50" t="s">
        <v>391</v>
      </c>
      <c r="N209" s="50" t="s">
        <v>392</v>
      </c>
      <c r="O209" s="50" t="s">
        <v>739</v>
      </c>
      <c r="P209" s="50" t="s">
        <v>740</v>
      </c>
    </row>
    <row r="210" ht="13.5" customHeight="1">
      <c r="B210" s="54"/>
      <c r="C210" s="38"/>
      <c r="D210" s="55"/>
      <c r="E210" s="56"/>
      <c r="F210" s="55"/>
      <c r="G210" s="55"/>
      <c r="H210" s="56"/>
      <c r="J210" s="57" t="str">
        <f t="shared" si="1"/>
        <v>AraguaJosé Angel LamasCapital José Ángel Lamas</v>
      </c>
      <c r="K210" s="50" t="s">
        <v>99</v>
      </c>
      <c r="L210" s="50" t="s">
        <v>100</v>
      </c>
      <c r="M210" s="50" t="s">
        <v>394</v>
      </c>
      <c r="N210" s="50" t="s">
        <v>395</v>
      </c>
      <c r="O210" s="50" t="s">
        <v>741</v>
      </c>
      <c r="P210" s="50" t="s">
        <v>742</v>
      </c>
    </row>
    <row r="211" ht="13.5" customHeight="1">
      <c r="B211" s="54"/>
      <c r="C211" s="38"/>
      <c r="D211" s="55"/>
      <c r="E211" s="56"/>
      <c r="F211" s="55"/>
      <c r="G211" s="55"/>
      <c r="H211" s="56"/>
      <c r="J211" s="57" t="str">
        <f t="shared" si="1"/>
        <v>AraguaJosé Félix RibasUrbana Juan Vicente Bolívar Y Ponte</v>
      </c>
      <c r="K211" s="50" t="s">
        <v>99</v>
      </c>
      <c r="L211" s="50" t="s">
        <v>100</v>
      </c>
      <c r="M211" s="50" t="s">
        <v>398</v>
      </c>
      <c r="N211" s="50" t="s">
        <v>399</v>
      </c>
      <c r="O211" s="50" t="s">
        <v>743</v>
      </c>
      <c r="P211" s="50" t="s">
        <v>744</v>
      </c>
    </row>
    <row r="212" ht="13.5" customHeight="1">
      <c r="B212" s="54"/>
      <c r="C212" s="38"/>
      <c r="D212" s="55"/>
      <c r="E212" s="56"/>
      <c r="F212" s="55"/>
      <c r="G212" s="55"/>
      <c r="H212" s="56"/>
      <c r="J212" s="57" t="str">
        <f t="shared" si="1"/>
        <v>AraguaJosé Félix RibasUrbana Castor Nieves Ríos</v>
      </c>
      <c r="K212" s="50" t="s">
        <v>99</v>
      </c>
      <c r="L212" s="50" t="s">
        <v>100</v>
      </c>
      <c r="M212" s="50" t="s">
        <v>398</v>
      </c>
      <c r="N212" s="50" t="s">
        <v>399</v>
      </c>
      <c r="O212" s="50" t="s">
        <v>745</v>
      </c>
      <c r="P212" s="50" t="s">
        <v>746</v>
      </c>
    </row>
    <row r="213" ht="13.5" customHeight="1">
      <c r="B213" s="54"/>
      <c r="C213" s="38"/>
      <c r="D213" s="55"/>
      <c r="E213" s="56"/>
      <c r="F213" s="55"/>
      <c r="G213" s="55"/>
      <c r="H213" s="56"/>
      <c r="J213" s="57" t="str">
        <f t="shared" si="1"/>
        <v>AraguaJosé Félix RibasNo Urbana Las Guacamayas</v>
      </c>
      <c r="K213" s="50" t="s">
        <v>99</v>
      </c>
      <c r="L213" s="50" t="s">
        <v>100</v>
      </c>
      <c r="M213" s="50" t="s">
        <v>398</v>
      </c>
      <c r="N213" s="50" t="s">
        <v>399</v>
      </c>
      <c r="O213" s="50" t="s">
        <v>747</v>
      </c>
      <c r="P213" s="50" t="s">
        <v>748</v>
      </c>
    </row>
    <row r="214" ht="13.5" customHeight="1">
      <c r="B214" s="54"/>
      <c r="C214" s="38"/>
      <c r="D214" s="55"/>
      <c r="E214" s="56"/>
      <c r="F214" s="55"/>
      <c r="G214" s="55"/>
      <c r="H214" s="56"/>
      <c r="J214" s="57" t="str">
        <f t="shared" si="1"/>
        <v>AraguaJosé Félix RibasNo Urbana Pao De Zarate</v>
      </c>
      <c r="K214" s="50" t="s">
        <v>99</v>
      </c>
      <c r="L214" s="50" t="s">
        <v>100</v>
      </c>
      <c r="M214" s="50" t="s">
        <v>398</v>
      </c>
      <c r="N214" s="50" t="s">
        <v>399</v>
      </c>
      <c r="O214" s="50" t="s">
        <v>749</v>
      </c>
      <c r="P214" s="50" t="s">
        <v>750</v>
      </c>
    </row>
    <row r="215" ht="13.5" customHeight="1">
      <c r="B215" s="54"/>
      <c r="C215" s="38"/>
      <c r="D215" s="55"/>
      <c r="E215" s="56"/>
      <c r="F215" s="55"/>
      <c r="G215" s="55"/>
      <c r="H215" s="56"/>
      <c r="J215" s="57" t="str">
        <f t="shared" si="1"/>
        <v>AraguaJosé Félix RibasNo Urbana Zuata</v>
      </c>
      <c r="K215" s="50" t="s">
        <v>99</v>
      </c>
      <c r="L215" s="50" t="s">
        <v>100</v>
      </c>
      <c r="M215" s="50" t="s">
        <v>398</v>
      </c>
      <c r="N215" s="50" t="s">
        <v>399</v>
      </c>
      <c r="O215" s="50" t="s">
        <v>751</v>
      </c>
      <c r="P215" s="50" t="s">
        <v>752</v>
      </c>
    </row>
    <row r="216" ht="13.5" customHeight="1">
      <c r="B216" s="54"/>
      <c r="C216" s="38"/>
      <c r="D216" s="55"/>
      <c r="E216" s="56"/>
      <c r="F216" s="55"/>
      <c r="G216" s="55"/>
      <c r="H216" s="56"/>
      <c r="J216" s="57" t="str">
        <f t="shared" si="1"/>
        <v>AraguaJosé Rafael RevengaCapital José Rafael Revenga</v>
      </c>
      <c r="K216" s="50" t="s">
        <v>99</v>
      </c>
      <c r="L216" s="50" t="s">
        <v>100</v>
      </c>
      <c r="M216" s="50" t="s">
        <v>402</v>
      </c>
      <c r="N216" s="50" t="s">
        <v>403</v>
      </c>
      <c r="O216" s="50" t="s">
        <v>753</v>
      </c>
      <c r="P216" s="50" t="s">
        <v>754</v>
      </c>
    </row>
    <row r="217" ht="13.5" customHeight="1">
      <c r="B217" s="54"/>
      <c r="C217" s="38"/>
      <c r="D217" s="55"/>
      <c r="E217" s="56"/>
      <c r="F217" s="55"/>
      <c r="G217" s="55"/>
      <c r="H217" s="56"/>
      <c r="J217" s="57" t="str">
        <f t="shared" si="1"/>
        <v>AraguaLibertadorLibertador</v>
      </c>
      <c r="K217" s="50" t="s">
        <v>99</v>
      </c>
      <c r="L217" s="50" t="s">
        <v>100</v>
      </c>
      <c r="M217" s="50" t="s">
        <v>406</v>
      </c>
      <c r="N217" s="50" t="s">
        <v>34</v>
      </c>
      <c r="O217" s="50" t="s">
        <v>755</v>
      </c>
      <c r="P217" s="50" t="s">
        <v>34</v>
      </c>
    </row>
    <row r="218" ht="13.5" customHeight="1">
      <c r="B218" s="54"/>
      <c r="C218" s="38"/>
      <c r="D218" s="55"/>
      <c r="E218" s="56"/>
      <c r="F218" s="55"/>
      <c r="G218" s="55"/>
      <c r="H218" s="56"/>
      <c r="J218" s="57" t="str">
        <f t="shared" si="1"/>
        <v>AraguaLibertadorNo Urbana San Martin De Porres</v>
      </c>
      <c r="K218" s="50" t="s">
        <v>99</v>
      </c>
      <c r="L218" s="50" t="s">
        <v>100</v>
      </c>
      <c r="M218" s="50" t="s">
        <v>406</v>
      </c>
      <c r="N218" s="50" t="s">
        <v>34</v>
      </c>
      <c r="O218" s="50" t="s">
        <v>756</v>
      </c>
      <c r="P218" s="50" t="s">
        <v>757</v>
      </c>
    </row>
    <row r="219" ht="13.5" customHeight="1">
      <c r="B219" s="54"/>
      <c r="C219" s="38"/>
      <c r="D219" s="55"/>
      <c r="E219" s="56"/>
      <c r="F219" s="55"/>
      <c r="G219" s="55"/>
      <c r="H219" s="56"/>
      <c r="J219" s="57" t="str">
        <f t="shared" si="1"/>
        <v>AraguaMario Briceño IragorryMario Briceño Iragorry</v>
      </c>
      <c r="K219" s="50" t="s">
        <v>99</v>
      </c>
      <c r="L219" s="50" t="s">
        <v>100</v>
      </c>
      <c r="M219" s="50" t="s">
        <v>409</v>
      </c>
      <c r="N219" s="50" t="s">
        <v>410</v>
      </c>
      <c r="O219" s="50" t="s">
        <v>758</v>
      </c>
      <c r="P219" s="50" t="s">
        <v>410</v>
      </c>
    </row>
    <row r="220" ht="13.5" customHeight="1">
      <c r="B220" s="54"/>
      <c r="C220" s="38"/>
      <c r="D220" s="55"/>
      <c r="E220" s="56"/>
      <c r="F220" s="55"/>
      <c r="G220" s="55"/>
      <c r="H220" s="56"/>
      <c r="J220" s="57" t="str">
        <f t="shared" si="1"/>
        <v>AraguaMario Briceño IragorryUrbana Caña De Azúcar</v>
      </c>
      <c r="K220" s="50" t="s">
        <v>99</v>
      </c>
      <c r="L220" s="50" t="s">
        <v>100</v>
      </c>
      <c r="M220" s="50" t="s">
        <v>409</v>
      </c>
      <c r="N220" s="50" t="s">
        <v>410</v>
      </c>
      <c r="O220" s="50" t="s">
        <v>759</v>
      </c>
      <c r="P220" s="50" t="s">
        <v>760</v>
      </c>
    </row>
    <row r="221" ht="13.5" customHeight="1">
      <c r="B221" s="54"/>
      <c r="C221" s="38"/>
      <c r="D221" s="55"/>
      <c r="E221" s="56"/>
      <c r="F221" s="55"/>
      <c r="G221" s="55"/>
      <c r="H221" s="56"/>
      <c r="J221" s="57" t="str">
        <f t="shared" si="1"/>
        <v>AraguaSan CasimiroSan Casimiro</v>
      </c>
      <c r="K221" s="50" t="s">
        <v>99</v>
      </c>
      <c r="L221" s="50" t="s">
        <v>100</v>
      </c>
      <c r="M221" s="50" t="s">
        <v>413</v>
      </c>
      <c r="N221" s="50" t="s">
        <v>414</v>
      </c>
      <c r="O221" s="50" t="s">
        <v>761</v>
      </c>
      <c r="P221" s="50" t="s">
        <v>414</v>
      </c>
    </row>
    <row r="222" ht="13.5" customHeight="1">
      <c r="B222" s="54"/>
      <c r="C222" s="38"/>
      <c r="D222" s="55"/>
      <c r="E222" s="56"/>
      <c r="F222" s="55"/>
      <c r="G222" s="55"/>
      <c r="H222" s="56"/>
      <c r="J222" s="57" t="str">
        <f t="shared" si="1"/>
        <v>AraguaSan CasimiroNo Urbana Guiripa</v>
      </c>
      <c r="K222" s="50" t="s">
        <v>99</v>
      </c>
      <c r="L222" s="50" t="s">
        <v>100</v>
      </c>
      <c r="M222" s="50" t="s">
        <v>413</v>
      </c>
      <c r="N222" s="50" t="s">
        <v>414</v>
      </c>
      <c r="O222" s="50" t="s">
        <v>762</v>
      </c>
      <c r="P222" s="50" t="s">
        <v>763</v>
      </c>
    </row>
    <row r="223" ht="13.5" customHeight="1">
      <c r="B223" s="54"/>
      <c r="C223" s="38"/>
      <c r="D223" s="55"/>
      <c r="E223" s="56"/>
      <c r="F223" s="55"/>
      <c r="G223" s="55"/>
      <c r="H223" s="56"/>
      <c r="J223" s="57" t="str">
        <f t="shared" si="1"/>
        <v>AraguaSan CasimiroNo Urbana Ollas De Caramacate</v>
      </c>
      <c r="K223" s="50" t="s">
        <v>99</v>
      </c>
      <c r="L223" s="50" t="s">
        <v>100</v>
      </c>
      <c r="M223" s="50" t="s">
        <v>413</v>
      </c>
      <c r="N223" s="50" t="s">
        <v>414</v>
      </c>
      <c r="O223" s="50" t="s">
        <v>764</v>
      </c>
      <c r="P223" s="50" t="s">
        <v>765</v>
      </c>
    </row>
    <row r="224" ht="13.5" customHeight="1">
      <c r="B224" s="54"/>
      <c r="C224" s="38"/>
      <c r="D224" s="55"/>
      <c r="E224" s="56"/>
      <c r="F224" s="55"/>
      <c r="G224" s="55"/>
      <c r="H224" s="56"/>
      <c r="J224" s="57" t="str">
        <f t="shared" si="1"/>
        <v>AraguaSan CasimiroNo Urbana Valle Morín</v>
      </c>
      <c r="K224" s="50" t="s">
        <v>99</v>
      </c>
      <c r="L224" s="50" t="s">
        <v>100</v>
      </c>
      <c r="M224" s="50" t="s">
        <v>413</v>
      </c>
      <c r="N224" s="50" t="s">
        <v>414</v>
      </c>
      <c r="O224" s="50" t="s">
        <v>766</v>
      </c>
      <c r="P224" s="50" t="s">
        <v>767</v>
      </c>
    </row>
    <row r="225" ht="13.5" customHeight="1">
      <c r="B225" s="54"/>
      <c r="C225" s="38"/>
      <c r="D225" s="55"/>
      <c r="E225" s="56"/>
      <c r="F225" s="55"/>
      <c r="G225" s="55"/>
      <c r="H225" s="56"/>
      <c r="J225" s="57" t="str">
        <f t="shared" si="1"/>
        <v>AraguaSan SebastiánCapital San Sebastián</v>
      </c>
      <c r="K225" s="50" t="s">
        <v>99</v>
      </c>
      <c r="L225" s="50" t="s">
        <v>100</v>
      </c>
      <c r="M225" s="50" t="s">
        <v>417</v>
      </c>
      <c r="N225" s="50" t="s">
        <v>418</v>
      </c>
      <c r="O225" s="50" t="s">
        <v>768</v>
      </c>
      <c r="P225" s="50" t="s">
        <v>769</v>
      </c>
    </row>
    <row r="226" ht="13.5" customHeight="1">
      <c r="B226" s="54"/>
      <c r="C226" s="38"/>
      <c r="D226" s="55"/>
      <c r="E226" s="56"/>
      <c r="F226" s="55"/>
      <c r="G226" s="55"/>
      <c r="H226" s="56"/>
      <c r="J226" s="57" t="str">
        <f t="shared" si="1"/>
        <v>AraguaSantiago MariñoSantiago Mariño</v>
      </c>
      <c r="K226" s="50" t="s">
        <v>99</v>
      </c>
      <c r="L226" s="50" t="s">
        <v>100</v>
      </c>
      <c r="M226" s="50" t="s">
        <v>420</v>
      </c>
      <c r="N226" s="50" t="s">
        <v>421</v>
      </c>
      <c r="O226" s="50" t="s">
        <v>770</v>
      </c>
      <c r="P226" s="50" t="s">
        <v>421</v>
      </c>
    </row>
    <row r="227" ht="13.5" customHeight="1">
      <c r="B227" s="54"/>
      <c r="C227" s="38"/>
      <c r="D227" s="55"/>
      <c r="E227" s="56"/>
      <c r="F227" s="55"/>
      <c r="G227" s="55"/>
      <c r="H227" s="56"/>
      <c r="J227" s="57" t="str">
        <f t="shared" si="1"/>
        <v>AraguaSantiago MariñoNo Urbana Arévalo Aponte</v>
      </c>
      <c r="K227" s="50" t="s">
        <v>99</v>
      </c>
      <c r="L227" s="50" t="s">
        <v>100</v>
      </c>
      <c r="M227" s="50" t="s">
        <v>420</v>
      </c>
      <c r="N227" s="50" t="s">
        <v>421</v>
      </c>
      <c r="O227" s="50" t="s">
        <v>771</v>
      </c>
      <c r="P227" s="50" t="s">
        <v>772</v>
      </c>
    </row>
    <row r="228" ht="13.5" customHeight="1">
      <c r="B228" s="54"/>
      <c r="C228" s="38"/>
      <c r="D228" s="55"/>
      <c r="E228" s="56"/>
      <c r="F228" s="55"/>
      <c r="G228" s="55"/>
      <c r="H228" s="56"/>
      <c r="J228" s="57" t="str">
        <f t="shared" si="1"/>
        <v>AraguaSantiago MariñoNo Urbana Chuao</v>
      </c>
      <c r="K228" s="50" t="s">
        <v>99</v>
      </c>
      <c r="L228" s="50" t="s">
        <v>100</v>
      </c>
      <c r="M228" s="50" t="s">
        <v>420</v>
      </c>
      <c r="N228" s="50" t="s">
        <v>421</v>
      </c>
      <c r="O228" s="50" t="s">
        <v>773</v>
      </c>
      <c r="P228" s="50" t="s">
        <v>774</v>
      </c>
    </row>
    <row r="229" ht="13.5" customHeight="1">
      <c r="B229" s="54"/>
      <c r="C229" s="38"/>
      <c r="D229" s="55"/>
      <c r="E229" s="56"/>
      <c r="F229" s="55"/>
      <c r="G229" s="55"/>
      <c r="H229" s="56"/>
      <c r="J229" s="57" t="str">
        <f t="shared" si="1"/>
        <v>AraguaSantiago MariñoNo Urbana Samán De Guere</v>
      </c>
      <c r="K229" s="50" t="s">
        <v>99</v>
      </c>
      <c r="L229" s="50" t="s">
        <v>100</v>
      </c>
      <c r="M229" s="50" t="s">
        <v>420</v>
      </c>
      <c r="N229" s="50" t="s">
        <v>421</v>
      </c>
      <c r="O229" s="50" t="s">
        <v>775</v>
      </c>
      <c r="P229" s="50" t="s">
        <v>776</v>
      </c>
    </row>
    <row r="230" ht="13.5" customHeight="1">
      <c r="B230" s="54"/>
      <c r="C230" s="38"/>
      <c r="D230" s="55"/>
      <c r="E230" s="56"/>
      <c r="F230" s="55"/>
      <c r="G230" s="55"/>
      <c r="H230" s="56"/>
      <c r="J230" s="57" t="str">
        <f t="shared" si="1"/>
        <v>AraguaSantiago MariñoNo Urbana  Alfredo Pacheco Miranda</v>
      </c>
      <c r="K230" s="50" t="s">
        <v>99</v>
      </c>
      <c r="L230" s="50" t="s">
        <v>100</v>
      </c>
      <c r="M230" s="50" t="s">
        <v>420</v>
      </c>
      <c r="N230" s="50" t="s">
        <v>421</v>
      </c>
      <c r="O230" s="50" t="s">
        <v>777</v>
      </c>
      <c r="P230" s="50" t="s">
        <v>778</v>
      </c>
    </row>
    <row r="231" ht="13.5" customHeight="1">
      <c r="B231" s="54"/>
      <c r="C231" s="38"/>
      <c r="D231" s="55"/>
      <c r="E231" s="56"/>
      <c r="F231" s="55"/>
      <c r="G231" s="55"/>
      <c r="H231" s="56"/>
      <c r="J231" s="57" t="str">
        <f t="shared" si="1"/>
        <v>AraguaSantos MichelenaSantos Michelena</v>
      </c>
      <c r="K231" s="50" t="s">
        <v>99</v>
      </c>
      <c r="L231" s="50" t="s">
        <v>100</v>
      </c>
      <c r="M231" s="50" t="s">
        <v>424</v>
      </c>
      <c r="N231" s="50" t="s">
        <v>425</v>
      </c>
      <c r="O231" s="50" t="s">
        <v>779</v>
      </c>
      <c r="P231" s="50" t="s">
        <v>425</v>
      </c>
    </row>
    <row r="232" ht="13.5" customHeight="1">
      <c r="B232" s="54"/>
      <c r="C232" s="38"/>
      <c r="D232" s="55"/>
      <c r="E232" s="56"/>
      <c r="F232" s="55"/>
      <c r="G232" s="55"/>
      <c r="H232" s="56"/>
      <c r="J232" s="57" t="str">
        <f t="shared" si="1"/>
        <v>AraguaSantos MichelenaNo Urbana Tiara</v>
      </c>
      <c r="K232" s="50" t="s">
        <v>99</v>
      </c>
      <c r="L232" s="50" t="s">
        <v>100</v>
      </c>
      <c r="M232" s="50" t="s">
        <v>424</v>
      </c>
      <c r="N232" s="50" t="s">
        <v>425</v>
      </c>
      <c r="O232" s="50" t="s">
        <v>780</v>
      </c>
      <c r="P232" s="50" t="s">
        <v>781</v>
      </c>
    </row>
    <row r="233" ht="13.5" customHeight="1">
      <c r="B233" s="54"/>
      <c r="C233" s="38"/>
      <c r="D233" s="55"/>
      <c r="E233" s="56"/>
      <c r="F233" s="55"/>
      <c r="G233" s="55"/>
      <c r="H233" s="56"/>
      <c r="J233" s="57" t="str">
        <f t="shared" si="1"/>
        <v>AraguaSucreSucre</v>
      </c>
      <c r="K233" s="50" t="s">
        <v>99</v>
      </c>
      <c r="L233" s="50" t="s">
        <v>100</v>
      </c>
      <c r="M233" s="50" t="s">
        <v>427</v>
      </c>
      <c r="N233" s="50" t="s">
        <v>271</v>
      </c>
      <c r="O233" s="50" t="s">
        <v>782</v>
      </c>
      <c r="P233" s="50" t="s">
        <v>271</v>
      </c>
    </row>
    <row r="234" ht="13.5" customHeight="1">
      <c r="B234" s="54"/>
      <c r="C234" s="38"/>
      <c r="D234" s="55"/>
      <c r="E234" s="56"/>
      <c r="F234" s="55"/>
      <c r="G234" s="55"/>
      <c r="H234" s="56"/>
      <c r="J234" s="57" t="str">
        <f t="shared" si="1"/>
        <v>AraguaSucreNo Urbana Bella Vista</v>
      </c>
      <c r="K234" s="50" t="s">
        <v>99</v>
      </c>
      <c r="L234" s="50" t="s">
        <v>100</v>
      </c>
      <c r="M234" s="50" t="s">
        <v>427</v>
      </c>
      <c r="N234" s="50" t="s">
        <v>271</v>
      </c>
      <c r="O234" s="50" t="s">
        <v>783</v>
      </c>
      <c r="P234" s="50" t="s">
        <v>784</v>
      </c>
    </row>
    <row r="235" ht="13.5" customHeight="1">
      <c r="B235" s="54"/>
      <c r="C235" s="38"/>
      <c r="D235" s="55"/>
      <c r="E235" s="56"/>
      <c r="F235" s="55"/>
      <c r="G235" s="55"/>
      <c r="H235" s="56"/>
      <c r="J235" s="57" t="str">
        <f t="shared" si="1"/>
        <v>AraguaTovarCapital Tovar</v>
      </c>
      <c r="K235" s="50" t="s">
        <v>99</v>
      </c>
      <c r="L235" s="50" t="s">
        <v>100</v>
      </c>
      <c r="M235" s="50" t="s">
        <v>430</v>
      </c>
      <c r="N235" s="50" t="s">
        <v>431</v>
      </c>
      <c r="O235" s="50" t="s">
        <v>785</v>
      </c>
      <c r="P235" s="50" t="s">
        <v>786</v>
      </c>
    </row>
    <row r="236" ht="13.5" customHeight="1">
      <c r="B236" s="54"/>
      <c r="C236" s="38"/>
      <c r="D236" s="55"/>
      <c r="E236" s="56"/>
      <c r="F236" s="55"/>
      <c r="G236" s="55"/>
      <c r="H236" s="56"/>
      <c r="J236" s="57" t="str">
        <f t="shared" si="1"/>
        <v>AraguaUrdanetaUrdaneta</v>
      </c>
      <c r="K236" s="50" t="s">
        <v>99</v>
      </c>
      <c r="L236" s="50" t="s">
        <v>100</v>
      </c>
      <c r="M236" s="50" t="s">
        <v>433</v>
      </c>
      <c r="N236" s="50" t="s">
        <v>434</v>
      </c>
      <c r="O236" s="50" t="s">
        <v>787</v>
      </c>
      <c r="P236" s="50" t="s">
        <v>434</v>
      </c>
    </row>
    <row r="237" ht="13.5" customHeight="1">
      <c r="B237" s="54"/>
      <c r="C237" s="38"/>
      <c r="D237" s="55"/>
      <c r="E237" s="56"/>
      <c r="F237" s="55"/>
      <c r="G237" s="55"/>
      <c r="H237" s="56"/>
      <c r="J237" s="57" t="str">
        <f t="shared" si="1"/>
        <v>AraguaUrdanetaNo Urbana Las Peñitas</v>
      </c>
      <c r="K237" s="50" t="s">
        <v>99</v>
      </c>
      <c r="L237" s="50" t="s">
        <v>100</v>
      </c>
      <c r="M237" s="50" t="s">
        <v>433</v>
      </c>
      <c r="N237" s="50" t="s">
        <v>434</v>
      </c>
      <c r="O237" s="50" t="s">
        <v>788</v>
      </c>
      <c r="P237" s="50" t="s">
        <v>789</v>
      </c>
    </row>
    <row r="238" ht="13.5" customHeight="1">
      <c r="B238" s="54"/>
      <c r="C238" s="38"/>
      <c r="D238" s="55"/>
      <c r="E238" s="56"/>
      <c r="F238" s="55"/>
      <c r="G238" s="55"/>
      <c r="H238" s="56"/>
      <c r="J238" s="57" t="str">
        <f t="shared" si="1"/>
        <v>AraguaUrdanetaNo Urbana San Francisco De Cara</v>
      </c>
      <c r="K238" s="50" t="s">
        <v>99</v>
      </c>
      <c r="L238" s="50" t="s">
        <v>100</v>
      </c>
      <c r="M238" s="50" t="s">
        <v>433</v>
      </c>
      <c r="N238" s="50" t="s">
        <v>434</v>
      </c>
      <c r="O238" s="50" t="s">
        <v>790</v>
      </c>
      <c r="P238" s="50" t="s">
        <v>791</v>
      </c>
    </row>
    <row r="239" ht="13.5" customHeight="1">
      <c r="B239" s="54"/>
      <c r="C239" s="38"/>
      <c r="D239" s="55"/>
      <c r="E239" s="56"/>
      <c r="F239" s="55"/>
      <c r="G239" s="55"/>
      <c r="H239" s="56"/>
      <c r="J239" s="57" t="str">
        <f t="shared" si="1"/>
        <v>AraguaUrdanetaNo Urbana Taguay</v>
      </c>
      <c r="K239" s="50" t="s">
        <v>99</v>
      </c>
      <c r="L239" s="50" t="s">
        <v>100</v>
      </c>
      <c r="M239" s="50" t="s">
        <v>433</v>
      </c>
      <c r="N239" s="50" t="s">
        <v>434</v>
      </c>
      <c r="O239" s="50" t="s">
        <v>792</v>
      </c>
      <c r="P239" s="50" t="s">
        <v>793</v>
      </c>
    </row>
    <row r="240" ht="13.5" customHeight="1">
      <c r="B240" s="54"/>
      <c r="C240" s="38"/>
      <c r="D240" s="55"/>
      <c r="E240" s="56"/>
      <c r="F240" s="55"/>
      <c r="G240" s="55"/>
      <c r="H240" s="56"/>
      <c r="J240" s="57" t="str">
        <f t="shared" si="1"/>
        <v>AraguaZamoraEzequiel Zamora</v>
      </c>
      <c r="K240" s="50" t="s">
        <v>99</v>
      </c>
      <c r="L240" s="50" t="s">
        <v>100</v>
      </c>
      <c r="M240" s="50" t="s">
        <v>437</v>
      </c>
      <c r="N240" s="50" t="s">
        <v>438</v>
      </c>
      <c r="O240" s="50" t="s">
        <v>794</v>
      </c>
      <c r="P240" s="50" t="s">
        <v>510</v>
      </c>
    </row>
    <row r="241" ht="13.5" customHeight="1">
      <c r="B241" s="54"/>
      <c r="C241" s="38"/>
      <c r="D241" s="55"/>
      <c r="E241" s="56"/>
      <c r="F241" s="55"/>
      <c r="G241" s="55"/>
      <c r="H241" s="56"/>
      <c r="J241" s="57" t="str">
        <f t="shared" si="1"/>
        <v>AraguaZamoraNo Urbana Magdaleno</v>
      </c>
      <c r="K241" s="50" t="s">
        <v>99</v>
      </c>
      <c r="L241" s="50" t="s">
        <v>100</v>
      </c>
      <c r="M241" s="50" t="s">
        <v>437</v>
      </c>
      <c r="N241" s="50" t="s">
        <v>438</v>
      </c>
      <c r="O241" s="50" t="s">
        <v>795</v>
      </c>
      <c r="P241" s="50" t="s">
        <v>796</v>
      </c>
    </row>
    <row r="242" ht="13.5" customHeight="1">
      <c r="B242" s="54"/>
      <c r="C242" s="38"/>
      <c r="D242" s="55"/>
      <c r="E242" s="56"/>
      <c r="F242" s="55"/>
      <c r="G242" s="55"/>
      <c r="H242" s="56"/>
      <c r="J242" s="57" t="str">
        <f t="shared" si="1"/>
        <v>AraguaZamoraNo Urbana San Francisco De Asís</v>
      </c>
      <c r="K242" s="50" t="s">
        <v>99</v>
      </c>
      <c r="L242" s="50" t="s">
        <v>100</v>
      </c>
      <c r="M242" s="50" t="s">
        <v>437</v>
      </c>
      <c r="N242" s="50" t="s">
        <v>438</v>
      </c>
      <c r="O242" s="50" t="s">
        <v>797</v>
      </c>
      <c r="P242" s="50" t="s">
        <v>798</v>
      </c>
    </row>
    <row r="243" ht="13.5" customHeight="1">
      <c r="B243" s="54"/>
      <c r="C243" s="38"/>
      <c r="D243" s="55"/>
      <c r="E243" s="56"/>
      <c r="F243" s="55"/>
      <c r="G243" s="55"/>
      <c r="H243" s="56"/>
      <c r="J243" s="57" t="str">
        <f t="shared" si="1"/>
        <v>AraguaZamoraNo Urbana Valles De Tucutunemo</v>
      </c>
      <c r="K243" s="50" t="s">
        <v>99</v>
      </c>
      <c r="L243" s="50" t="s">
        <v>100</v>
      </c>
      <c r="M243" s="50" t="s">
        <v>437</v>
      </c>
      <c r="N243" s="50" t="s">
        <v>438</v>
      </c>
      <c r="O243" s="50" t="s">
        <v>799</v>
      </c>
      <c r="P243" s="50" t="s">
        <v>800</v>
      </c>
    </row>
    <row r="244" ht="13.5" customHeight="1">
      <c r="B244" s="54"/>
      <c r="C244" s="38"/>
      <c r="D244" s="55"/>
      <c r="E244" s="56"/>
      <c r="F244" s="55"/>
      <c r="G244" s="55"/>
      <c r="H244" s="56"/>
      <c r="J244" s="57" t="str">
        <f t="shared" si="1"/>
        <v>AraguaZamoraNo Urbana Augusto Mijares</v>
      </c>
      <c r="K244" s="50" t="s">
        <v>99</v>
      </c>
      <c r="L244" s="50" t="s">
        <v>100</v>
      </c>
      <c r="M244" s="50" t="s">
        <v>437</v>
      </c>
      <c r="N244" s="50" t="s">
        <v>438</v>
      </c>
      <c r="O244" s="50" t="s">
        <v>801</v>
      </c>
      <c r="P244" s="50" t="s">
        <v>802</v>
      </c>
    </row>
    <row r="245" ht="13.5" customHeight="1">
      <c r="B245" s="54"/>
      <c r="C245" s="38"/>
      <c r="D245" s="55"/>
      <c r="E245" s="56"/>
      <c r="F245" s="55"/>
      <c r="G245" s="55"/>
      <c r="H245" s="56"/>
      <c r="J245" s="57" t="str">
        <f t="shared" si="1"/>
        <v>AraguaFrancisco Linares AlcantaraFrancisco Linares Alcántara</v>
      </c>
      <c r="K245" s="50" t="s">
        <v>99</v>
      </c>
      <c r="L245" s="50" t="s">
        <v>100</v>
      </c>
      <c r="M245" s="50" t="s">
        <v>440</v>
      </c>
      <c r="N245" s="50" t="s">
        <v>441</v>
      </c>
      <c r="O245" s="50" t="s">
        <v>803</v>
      </c>
      <c r="P245" s="50" t="s">
        <v>804</v>
      </c>
    </row>
    <row r="246" ht="13.5" customHeight="1">
      <c r="B246" s="54"/>
      <c r="C246" s="38"/>
      <c r="D246" s="55"/>
      <c r="E246" s="56"/>
      <c r="F246" s="55"/>
      <c r="G246" s="55"/>
      <c r="H246" s="56"/>
      <c r="J246" s="57" t="str">
        <f t="shared" si="1"/>
        <v>AraguaFrancisco Linares AlcantaraNo Urbana Francisco De Miranda</v>
      </c>
      <c r="K246" s="50" t="s">
        <v>99</v>
      </c>
      <c r="L246" s="50" t="s">
        <v>100</v>
      </c>
      <c r="M246" s="50" t="s">
        <v>440</v>
      </c>
      <c r="N246" s="50" t="s">
        <v>441</v>
      </c>
      <c r="O246" s="50" t="s">
        <v>805</v>
      </c>
      <c r="P246" s="50" t="s">
        <v>806</v>
      </c>
    </row>
    <row r="247" ht="13.5" customHeight="1">
      <c r="B247" s="54"/>
      <c r="C247" s="38"/>
      <c r="D247" s="55"/>
      <c r="E247" s="56"/>
      <c r="F247" s="55"/>
      <c r="G247" s="55"/>
      <c r="H247" s="56"/>
      <c r="J247" s="57" t="str">
        <f t="shared" si="1"/>
        <v>AraguaFrancisco Linares AlcantaraNo Urbana Monseñor Feliciano González</v>
      </c>
      <c r="K247" s="50" t="s">
        <v>99</v>
      </c>
      <c r="L247" s="50" t="s">
        <v>100</v>
      </c>
      <c r="M247" s="50" t="s">
        <v>440</v>
      </c>
      <c r="N247" s="50" t="s">
        <v>441</v>
      </c>
      <c r="O247" s="50" t="s">
        <v>807</v>
      </c>
      <c r="P247" s="50" t="s">
        <v>808</v>
      </c>
    </row>
    <row r="248" ht="13.5" customHeight="1">
      <c r="B248" s="54"/>
      <c r="C248" s="38"/>
      <c r="D248" s="55"/>
      <c r="E248" s="56"/>
      <c r="F248" s="55"/>
      <c r="G248" s="55"/>
      <c r="H248" s="56"/>
      <c r="J248" s="57" t="str">
        <f t="shared" si="1"/>
        <v>AraguaOcumare De La Costa De OroOcumare De La Costa De Oro</v>
      </c>
      <c r="K248" s="50" t="s">
        <v>99</v>
      </c>
      <c r="L248" s="50" t="s">
        <v>100</v>
      </c>
      <c r="M248" s="50" t="s">
        <v>444</v>
      </c>
      <c r="N248" s="50" t="s">
        <v>445</v>
      </c>
      <c r="O248" s="50" t="s">
        <v>809</v>
      </c>
      <c r="P248" s="50" t="s">
        <v>445</v>
      </c>
    </row>
    <row r="249" ht="13.5" customHeight="1">
      <c r="B249" s="54"/>
      <c r="C249" s="38"/>
      <c r="D249" s="55"/>
      <c r="E249" s="56"/>
      <c r="F249" s="55"/>
      <c r="G249" s="55"/>
      <c r="H249" s="56"/>
      <c r="J249" s="57" t="str">
        <f t="shared" si="1"/>
        <v>BarinasAlberto Arvelo TorrealbaSabaneta</v>
      </c>
      <c r="K249" s="50" t="s">
        <v>115</v>
      </c>
      <c r="L249" s="50" t="s">
        <v>116</v>
      </c>
      <c r="M249" s="50" t="s">
        <v>448</v>
      </c>
      <c r="N249" s="50" t="s">
        <v>449</v>
      </c>
      <c r="O249" s="50" t="s">
        <v>810</v>
      </c>
      <c r="P249" s="50" t="s">
        <v>811</v>
      </c>
    </row>
    <row r="250" ht="13.5" customHeight="1">
      <c r="B250" s="54"/>
      <c r="C250" s="38"/>
      <c r="D250" s="55"/>
      <c r="E250" s="56"/>
      <c r="F250" s="55"/>
      <c r="G250" s="55"/>
      <c r="H250" s="56"/>
      <c r="J250" s="57" t="str">
        <f t="shared" si="1"/>
        <v>BarinasAlberto Arvelo TorrealbaRodríguez Domínguez</v>
      </c>
      <c r="K250" s="50" t="s">
        <v>115</v>
      </c>
      <c r="L250" s="50" t="s">
        <v>116</v>
      </c>
      <c r="M250" s="50" t="s">
        <v>448</v>
      </c>
      <c r="N250" s="50" t="s">
        <v>449</v>
      </c>
      <c r="O250" s="50" t="s">
        <v>812</v>
      </c>
      <c r="P250" s="50" t="s">
        <v>813</v>
      </c>
    </row>
    <row r="251" ht="13.5" customHeight="1">
      <c r="B251" s="54"/>
      <c r="C251" s="38"/>
      <c r="D251" s="55"/>
      <c r="E251" s="56"/>
      <c r="F251" s="55"/>
      <c r="G251" s="55"/>
      <c r="H251" s="56"/>
      <c r="J251" s="57" t="str">
        <f t="shared" si="1"/>
        <v>BarinasAntonio José De SucreTicoporo</v>
      </c>
      <c r="K251" s="50" t="s">
        <v>115</v>
      </c>
      <c r="L251" s="50" t="s">
        <v>116</v>
      </c>
      <c r="M251" s="50" t="s">
        <v>814</v>
      </c>
      <c r="N251" s="50" t="s">
        <v>470</v>
      </c>
      <c r="O251" s="50" t="s">
        <v>815</v>
      </c>
      <c r="P251" s="50" t="s">
        <v>816</v>
      </c>
    </row>
    <row r="252" ht="13.5" customHeight="1">
      <c r="B252" s="54"/>
      <c r="C252" s="38"/>
      <c r="D252" s="55"/>
      <c r="E252" s="56"/>
      <c r="F252" s="55"/>
      <c r="G252" s="55"/>
      <c r="H252" s="56"/>
      <c r="J252" s="57" t="str">
        <f t="shared" si="1"/>
        <v>BarinasAntonio José De SucreAndrés Bello</v>
      </c>
      <c r="K252" s="50" t="s">
        <v>115</v>
      </c>
      <c r="L252" s="50" t="s">
        <v>116</v>
      </c>
      <c r="M252" s="50" t="s">
        <v>814</v>
      </c>
      <c r="N252" s="50" t="s">
        <v>470</v>
      </c>
      <c r="O252" s="50" t="s">
        <v>817</v>
      </c>
      <c r="P252" s="50" t="s">
        <v>464</v>
      </c>
    </row>
    <row r="253" ht="13.5" customHeight="1">
      <c r="B253" s="54"/>
      <c r="C253" s="38"/>
      <c r="D253" s="55"/>
      <c r="E253" s="56"/>
      <c r="F253" s="55"/>
      <c r="G253" s="55"/>
      <c r="H253" s="56"/>
      <c r="J253" s="57" t="str">
        <f t="shared" si="1"/>
        <v>BarinasAntonio José De SucreNicolás Pulido</v>
      </c>
      <c r="K253" s="50" t="s">
        <v>115</v>
      </c>
      <c r="L253" s="50" t="s">
        <v>116</v>
      </c>
      <c r="M253" s="50" t="s">
        <v>814</v>
      </c>
      <c r="N253" s="50" t="s">
        <v>470</v>
      </c>
      <c r="O253" s="50" t="s">
        <v>818</v>
      </c>
      <c r="P253" s="50" t="s">
        <v>819</v>
      </c>
    </row>
    <row r="254" ht="13.5" customHeight="1">
      <c r="B254" s="54"/>
      <c r="C254" s="38"/>
      <c r="D254" s="55"/>
      <c r="E254" s="56"/>
      <c r="F254" s="55"/>
      <c r="G254" s="55"/>
      <c r="H254" s="56"/>
      <c r="J254" s="57" t="str">
        <f t="shared" si="1"/>
        <v>BarinasArismendiArismendi</v>
      </c>
      <c r="K254" s="50" t="s">
        <v>115</v>
      </c>
      <c r="L254" s="50" t="s">
        <v>116</v>
      </c>
      <c r="M254" s="50" t="s">
        <v>820</v>
      </c>
      <c r="N254" s="50" t="s">
        <v>469</v>
      </c>
      <c r="O254" s="50" t="s">
        <v>821</v>
      </c>
      <c r="P254" s="50" t="s">
        <v>469</v>
      </c>
    </row>
    <row r="255" ht="13.5" customHeight="1">
      <c r="B255" s="54"/>
      <c r="C255" s="38"/>
      <c r="D255" s="55"/>
      <c r="E255" s="56"/>
      <c r="F255" s="55"/>
      <c r="G255" s="55"/>
      <c r="H255" s="56"/>
      <c r="J255" s="57" t="str">
        <f t="shared" si="1"/>
        <v>BarinasArismendiGuadarrama</v>
      </c>
      <c r="K255" s="50" t="s">
        <v>115</v>
      </c>
      <c r="L255" s="50" t="s">
        <v>116</v>
      </c>
      <c r="M255" s="50" t="s">
        <v>820</v>
      </c>
      <c r="N255" s="50" t="s">
        <v>469</v>
      </c>
      <c r="O255" s="50" t="s">
        <v>822</v>
      </c>
      <c r="P255" s="50" t="s">
        <v>823</v>
      </c>
    </row>
    <row r="256" ht="13.5" customHeight="1">
      <c r="B256" s="54"/>
      <c r="C256" s="38"/>
      <c r="D256" s="55"/>
      <c r="E256" s="56"/>
      <c r="F256" s="55"/>
      <c r="G256" s="55"/>
      <c r="H256" s="56"/>
      <c r="J256" s="57" t="str">
        <f t="shared" si="1"/>
        <v>BarinasArismendiLa Unión</v>
      </c>
      <c r="K256" s="50" t="s">
        <v>115</v>
      </c>
      <c r="L256" s="50" t="s">
        <v>116</v>
      </c>
      <c r="M256" s="50" t="s">
        <v>820</v>
      </c>
      <c r="N256" s="50" t="s">
        <v>469</v>
      </c>
      <c r="O256" s="50" t="s">
        <v>824</v>
      </c>
      <c r="P256" s="50" t="s">
        <v>825</v>
      </c>
    </row>
    <row r="257" ht="13.5" customHeight="1">
      <c r="B257" s="54"/>
      <c r="C257" s="38"/>
      <c r="D257" s="55"/>
      <c r="E257" s="56"/>
      <c r="F257" s="55"/>
      <c r="G257" s="55"/>
      <c r="H257" s="56"/>
      <c r="J257" s="57" t="str">
        <f t="shared" si="1"/>
        <v>BarinasArismendiSan Antonio</v>
      </c>
      <c r="K257" s="50" t="s">
        <v>115</v>
      </c>
      <c r="L257" s="50" t="s">
        <v>116</v>
      </c>
      <c r="M257" s="50" t="s">
        <v>820</v>
      </c>
      <c r="N257" s="50" t="s">
        <v>469</v>
      </c>
      <c r="O257" s="50" t="s">
        <v>826</v>
      </c>
      <c r="P257" s="50" t="s">
        <v>827</v>
      </c>
    </row>
    <row r="258" ht="13.5" customHeight="1">
      <c r="B258" s="54"/>
      <c r="C258" s="38"/>
      <c r="D258" s="55"/>
      <c r="E258" s="56"/>
      <c r="F258" s="55"/>
      <c r="G258" s="55"/>
      <c r="H258" s="56"/>
      <c r="J258" s="57" t="str">
        <f t="shared" si="1"/>
        <v>BarinasBarinasBarinas</v>
      </c>
      <c r="K258" s="50" t="s">
        <v>115</v>
      </c>
      <c r="L258" s="50" t="s">
        <v>116</v>
      </c>
      <c r="M258" s="50" t="s">
        <v>828</v>
      </c>
      <c r="N258" s="50" t="s">
        <v>116</v>
      </c>
      <c r="O258" s="50" t="s">
        <v>829</v>
      </c>
      <c r="P258" s="50" t="s">
        <v>116</v>
      </c>
    </row>
    <row r="259" ht="13.5" customHeight="1">
      <c r="B259" s="54"/>
      <c r="C259" s="38"/>
      <c r="D259" s="55"/>
      <c r="E259" s="56"/>
      <c r="F259" s="55"/>
      <c r="G259" s="55"/>
      <c r="H259" s="56"/>
      <c r="J259" s="57" t="str">
        <f t="shared" si="1"/>
        <v>BarinasBarinasAlfredo Arvelo Larriva</v>
      </c>
      <c r="K259" s="50" t="s">
        <v>115</v>
      </c>
      <c r="L259" s="50" t="s">
        <v>116</v>
      </c>
      <c r="M259" s="50" t="s">
        <v>828</v>
      </c>
      <c r="N259" s="50" t="s">
        <v>116</v>
      </c>
      <c r="O259" s="50" t="s">
        <v>830</v>
      </c>
      <c r="P259" s="50" t="s">
        <v>831</v>
      </c>
    </row>
    <row r="260" ht="13.5" customHeight="1">
      <c r="B260" s="54"/>
      <c r="C260" s="38"/>
      <c r="D260" s="55"/>
      <c r="E260" s="56"/>
      <c r="F260" s="55"/>
      <c r="G260" s="55"/>
      <c r="H260" s="56"/>
      <c r="J260" s="57" t="str">
        <f t="shared" si="1"/>
        <v>BarinasBarinasSan Silvestre</v>
      </c>
      <c r="K260" s="50" t="s">
        <v>115</v>
      </c>
      <c r="L260" s="50" t="s">
        <v>116</v>
      </c>
      <c r="M260" s="50" t="s">
        <v>828</v>
      </c>
      <c r="N260" s="50" t="s">
        <v>116</v>
      </c>
      <c r="O260" s="50" t="s">
        <v>832</v>
      </c>
      <c r="P260" s="50" t="s">
        <v>833</v>
      </c>
    </row>
    <row r="261" ht="13.5" customHeight="1">
      <c r="B261" s="54"/>
      <c r="C261" s="38"/>
      <c r="D261" s="55"/>
      <c r="E261" s="56"/>
      <c r="F261" s="55"/>
      <c r="G261" s="55"/>
      <c r="H261" s="56"/>
      <c r="J261" s="57" t="str">
        <f t="shared" si="1"/>
        <v>BarinasBarinasSanta Inés</v>
      </c>
      <c r="K261" s="50" t="s">
        <v>115</v>
      </c>
      <c r="L261" s="50" t="s">
        <v>116</v>
      </c>
      <c r="M261" s="50" t="s">
        <v>828</v>
      </c>
      <c r="N261" s="50" t="s">
        <v>116</v>
      </c>
      <c r="O261" s="50" t="s">
        <v>834</v>
      </c>
      <c r="P261" s="50" t="s">
        <v>621</v>
      </c>
    </row>
    <row r="262" ht="13.5" customHeight="1">
      <c r="B262" s="54"/>
      <c r="C262" s="38"/>
      <c r="D262" s="55"/>
      <c r="E262" s="56"/>
      <c r="F262" s="55"/>
      <c r="G262" s="55"/>
      <c r="H262" s="56"/>
      <c r="J262" s="57" t="str">
        <f t="shared" si="1"/>
        <v>BarinasBarinasSanta Lucia</v>
      </c>
      <c r="K262" s="50" t="s">
        <v>115</v>
      </c>
      <c r="L262" s="50" t="s">
        <v>116</v>
      </c>
      <c r="M262" s="50" t="s">
        <v>828</v>
      </c>
      <c r="N262" s="50" t="s">
        <v>116</v>
      </c>
      <c r="O262" s="50" t="s">
        <v>835</v>
      </c>
      <c r="P262" s="50" t="s">
        <v>836</v>
      </c>
    </row>
    <row r="263" ht="13.5" customHeight="1">
      <c r="B263" s="54"/>
      <c r="C263" s="38"/>
      <c r="D263" s="55"/>
      <c r="E263" s="56"/>
      <c r="F263" s="55"/>
      <c r="G263" s="55"/>
      <c r="H263" s="56"/>
      <c r="J263" s="57" t="str">
        <f t="shared" si="1"/>
        <v>BarinasBarinasTorunos</v>
      </c>
      <c r="K263" s="50" t="s">
        <v>115</v>
      </c>
      <c r="L263" s="50" t="s">
        <v>116</v>
      </c>
      <c r="M263" s="50" t="s">
        <v>828</v>
      </c>
      <c r="N263" s="50" t="s">
        <v>116</v>
      </c>
      <c r="O263" s="50" t="s">
        <v>837</v>
      </c>
      <c r="P263" s="50" t="s">
        <v>838</v>
      </c>
    </row>
    <row r="264" ht="13.5" customHeight="1">
      <c r="B264" s="54"/>
      <c r="C264" s="38"/>
      <c r="D264" s="55"/>
      <c r="E264" s="56"/>
      <c r="F264" s="55"/>
      <c r="G264" s="55"/>
      <c r="H264" s="56"/>
      <c r="J264" s="57" t="str">
        <f t="shared" si="1"/>
        <v>BarinasBarinasEl Carmen</v>
      </c>
      <c r="K264" s="50" t="s">
        <v>115</v>
      </c>
      <c r="L264" s="50" t="s">
        <v>116</v>
      </c>
      <c r="M264" s="50" t="s">
        <v>828</v>
      </c>
      <c r="N264" s="50" t="s">
        <v>116</v>
      </c>
      <c r="O264" s="50" t="s">
        <v>839</v>
      </c>
      <c r="P264" s="50" t="s">
        <v>649</v>
      </c>
    </row>
    <row r="265" ht="13.5" customHeight="1">
      <c r="B265" s="54"/>
      <c r="C265" s="38"/>
      <c r="D265" s="55"/>
      <c r="E265" s="56"/>
      <c r="F265" s="55"/>
      <c r="G265" s="55"/>
      <c r="H265" s="56"/>
      <c r="J265" s="57" t="str">
        <f t="shared" si="1"/>
        <v>BarinasBarinasDon Rómulo Betancourt</v>
      </c>
      <c r="K265" s="50" t="s">
        <v>115</v>
      </c>
      <c r="L265" s="50" t="s">
        <v>116</v>
      </c>
      <c r="M265" s="50" t="s">
        <v>828</v>
      </c>
      <c r="N265" s="50" t="s">
        <v>116</v>
      </c>
      <c r="O265" s="50" t="s">
        <v>840</v>
      </c>
      <c r="P265" s="50" t="s">
        <v>841</v>
      </c>
    </row>
    <row r="266" ht="13.5" customHeight="1">
      <c r="B266" s="54"/>
      <c r="C266" s="38"/>
      <c r="D266" s="55"/>
      <c r="E266" s="56"/>
      <c r="F266" s="55"/>
      <c r="G266" s="55"/>
      <c r="H266" s="56"/>
      <c r="J266" s="57" t="str">
        <f t="shared" si="1"/>
        <v>BarinasBarinasCorazón De Jesús</v>
      </c>
      <c r="K266" s="50" t="s">
        <v>115</v>
      </c>
      <c r="L266" s="50" t="s">
        <v>116</v>
      </c>
      <c r="M266" s="50" t="s">
        <v>828</v>
      </c>
      <c r="N266" s="50" t="s">
        <v>116</v>
      </c>
      <c r="O266" s="50" t="s">
        <v>842</v>
      </c>
      <c r="P266" s="50" t="s">
        <v>843</v>
      </c>
    </row>
    <row r="267" ht="13.5" customHeight="1">
      <c r="B267" s="54"/>
      <c r="C267" s="38"/>
      <c r="D267" s="55"/>
      <c r="E267" s="56"/>
      <c r="F267" s="55"/>
      <c r="G267" s="55"/>
      <c r="H267" s="56"/>
      <c r="J267" s="57" t="str">
        <f t="shared" si="1"/>
        <v>BarinasBarinasRamón Ignacio Méndez</v>
      </c>
      <c r="K267" s="50" t="s">
        <v>115</v>
      </c>
      <c r="L267" s="50" t="s">
        <v>116</v>
      </c>
      <c r="M267" s="50" t="s">
        <v>828</v>
      </c>
      <c r="N267" s="50" t="s">
        <v>116</v>
      </c>
      <c r="O267" s="50" t="s">
        <v>844</v>
      </c>
      <c r="P267" s="50" t="s">
        <v>845</v>
      </c>
    </row>
    <row r="268" ht="13.5" customHeight="1">
      <c r="B268" s="54"/>
      <c r="C268" s="38"/>
      <c r="D268" s="55"/>
      <c r="E268" s="56"/>
      <c r="F268" s="55"/>
      <c r="G268" s="55"/>
      <c r="H268" s="56"/>
      <c r="J268" s="57" t="str">
        <f t="shared" si="1"/>
        <v>BarinasBarinasAlto Barinas</v>
      </c>
      <c r="K268" s="50" t="s">
        <v>115</v>
      </c>
      <c r="L268" s="50" t="s">
        <v>116</v>
      </c>
      <c r="M268" s="50" t="s">
        <v>828</v>
      </c>
      <c r="N268" s="50" t="s">
        <v>116</v>
      </c>
      <c r="O268" s="50" t="s">
        <v>846</v>
      </c>
      <c r="P268" s="50" t="s">
        <v>847</v>
      </c>
    </row>
    <row r="269" ht="13.5" customHeight="1">
      <c r="B269" s="54"/>
      <c r="C269" s="38"/>
      <c r="D269" s="55"/>
      <c r="E269" s="56"/>
      <c r="F269" s="55"/>
      <c r="G269" s="55"/>
      <c r="H269" s="56"/>
      <c r="J269" s="57" t="str">
        <f t="shared" si="1"/>
        <v>BarinasBarinasManuel Palacio Fajardo</v>
      </c>
      <c r="K269" s="50" t="s">
        <v>115</v>
      </c>
      <c r="L269" s="50" t="s">
        <v>116</v>
      </c>
      <c r="M269" s="50" t="s">
        <v>828</v>
      </c>
      <c r="N269" s="50" t="s">
        <v>116</v>
      </c>
      <c r="O269" s="50" t="s">
        <v>848</v>
      </c>
      <c r="P269" s="50" t="s">
        <v>849</v>
      </c>
    </row>
    <row r="270" ht="13.5" customHeight="1">
      <c r="B270" s="54"/>
      <c r="C270" s="38"/>
      <c r="D270" s="55"/>
      <c r="E270" s="56"/>
      <c r="F270" s="55"/>
      <c r="G270" s="55"/>
      <c r="H270" s="56"/>
      <c r="J270" s="57" t="str">
        <f t="shared" si="1"/>
        <v>BarinasBarinasJuan Antonio Rodríguez Domínguez</v>
      </c>
      <c r="K270" s="50" t="s">
        <v>115</v>
      </c>
      <c r="L270" s="50" t="s">
        <v>116</v>
      </c>
      <c r="M270" s="50" t="s">
        <v>828</v>
      </c>
      <c r="N270" s="50" t="s">
        <v>116</v>
      </c>
      <c r="O270" s="50" t="s">
        <v>850</v>
      </c>
      <c r="P270" s="50" t="s">
        <v>851</v>
      </c>
    </row>
    <row r="271" ht="13.5" customHeight="1">
      <c r="B271" s="54"/>
      <c r="C271" s="38"/>
      <c r="D271" s="55"/>
      <c r="E271" s="56"/>
      <c r="F271" s="55"/>
      <c r="G271" s="55"/>
      <c r="H271" s="56"/>
      <c r="J271" s="57" t="str">
        <f t="shared" si="1"/>
        <v>BarinasBarinasDominga Ortiz De Páez</v>
      </c>
      <c r="K271" s="50" t="s">
        <v>115</v>
      </c>
      <c r="L271" s="50" t="s">
        <v>116</v>
      </c>
      <c r="M271" s="50" t="s">
        <v>828</v>
      </c>
      <c r="N271" s="50" t="s">
        <v>116</v>
      </c>
      <c r="O271" s="50" t="s">
        <v>852</v>
      </c>
      <c r="P271" s="50" t="s">
        <v>853</v>
      </c>
    </row>
    <row r="272" ht="13.5" customHeight="1">
      <c r="B272" s="54"/>
      <c r="C272" s="38"/>
      <c r="D272" s="55"/>
      <c r="E272" s="56"/>
      <c r="F272" s="55"/>
      <c r="G272" s="55"/>
      <c r="H272" s="56"/>
      <c r="J272" s="57" t="str">
        <f t="shared" si="1"/>
        <v>BarinasBolívarBarinitas</v>
      </c>
      <c r="K272" s="50" t="s">
        <v>115</v>
      </c>
      <c r="L272" s="50" t="s">
        <v>116</v>
      </c>
      <c r="M272" s="50" t="s">
        <v>854</v>
      </c>
      <c r="N272" s="50" t="s">
        <v>129</v>
      </c>
      <c r="O272" s="50" t="s">
        <v>855</v>
      </c>
      <c r="P272" s="50" t="s">
        <v>856</v>
      </c>
    </row>
    <row r="273" ht="13.5" customHeight="1">
      <c r="B273" s="54"/>
      <c r="C273" s="38"/>
      <c r="D273" s="55"/>
      <c r="E273" s="56"/>
      <c r="F273" s="55"/>
      <c r="G273" s="55"/>
      <c r="H273" s="56"/>
      <c r="J273" s="57" t="str">
        <f t="shared" si="1"/>
        <v>BarinasBolívarAltamira</v>
      </c>
      <c r="K273" s="50" t="s">
        <v>115</v>
      </c>
      <c r="L273" s="50" t="s">
        <v>116</v>
      </c>
      <c r="M273" s="50" t="s">
        <v>854</v>
      </c>
      <c r="N273" s="50" t="s">
        <v>129</v>
      </c>
      <c r="O273" s="50" t="s">
        <v>857</v>
      </c>
      <c r="P273" s="50" t="s">
        <v>858</v>
      </c>
    </row>
    <row r="274" ht="13.5" customHeight="1">
      <c r="B274" s="54"/>
      <c r="C274" s="38"/>
      <c r="D274" s="55"/>
      <c r="E274" s="56"/>
      <c r="F274" s="55"/>
      <c r="G274" s="55"/>
      <c r="H274" s="56"/>
      <c r="J274" s="57" t="str">
        <f t="shared" si="1"/>
        <v>BarinasBolívarCalderas</v>
      </c>
      <c r="K274" s="50" t="s">
        <v>115</v>
      </c>
      <c r="L274" s="50" t="s">
        <v>116</v>
      </c>
      <c r="M274" s="50" t="s">
        <v>854</v>
      </c>
      <c r="N274" s="50" t="s">
        <v>129</v>
      </c>
      <c r="O274" s="50" t="s">
        <v>859</v>
      </c>
      <c r="P274" s="50" t="s">
        <v>860</v>
      </c>
    </row>
    <row r="275" ht="13.5" customHeight="1">
      <c r="B275" s="54"/>
      <c r="C275" s="38"/>
      <c r="D275" s="55"/>
      <c r="E275" s="56"/>
      <c r="F275" s="55"/>
      <c r="G275" s="55"/>
      <c r="H275" s="56"/>
      <c r="J275" s="57" t="str">
        <f t="shared" si="1"/>
        <v>BarinasCruz ParedesBarrancas</v>
      </c>
      <c r="K275" s="50" t="s">
        <v>115</v>
      </c>
      <c r="L275" s="50" t="s">
        <v>116</v>
      </c>
      <c r="M275" s="50" t="s">
        <v>861</v>
      </c>
      <c r="N275" s="50" t="s">
        <v>509</v>
      </c>
      <c r="O275" s="50" t="s">
        <v>862</v>
      </c>
      <c r="P275" s="50" t="s">
        <v>863</v>
      </c>
    </row>
    <row r="276" ht="13.5" customHeight="1">
      <c r="B276" s="54"/>
      <c r="C276" s="38"/>
      <c r="D276" s="55"/>
      <c r="E276" s="56"/>
      <c r="F276" s="55"/>
      <c r="G276" s="55"/>
      <c r="H276" s="56"/>
      <c r="J276" s="57" t="str">
        <f t="shared" si="1"/>
        <v>BarinasCruz ParedesEl Socorro</v>
      </c>
      <c r="K276" s="50" t="s">
        <v>115</v>
      </c>
      <c r="L276" s="50" t="s">
        <v>116</v>
      </c>
      <c r="M276" s="50" t="s">
        <v>861</v>
      </c>
      <c r="N276" s="50" t="s">
        <v>509</v>
      </c>
      <c r="O276" s="50" t="s">
        <v>864</v>
      </c>
      <c r="P276" s="50" t="s">
        <v>484</v>
      </c>
    </row>
    <row r="277" ht="13.5" customHeight="1">
      <c r="B277" s="54"/>
      <c r="C277" s="38"/>
      <c r="D277" s="55"/>
      <c r="E277" s="56"/>
      <c r="F277" s="55"/>
      <c r="G277" s="55"/>
      <c r="H277" s="56"/>
      <c r="J277" s="57" t="str">
        <f t="shared" si="1"/>
        <v>BarinasCruz ParedesMasparrito</v>
      </c>
      <c r="K277" s="50" t="s">
        <v>115</v>
      </c>
      <c r="L277" s="50" t="s">
        <v>116</v>
      </c>
      <c r="M277" s="50" t="s">
        <v>861</v>
      </c>
      <c r="N277" s="50" t="s">
        <v>509</v>
      </c>
      <c r="O277" s="50" t="s">
        <v>865</v>
      </c>
      <c r="P277" s="50" t="s">
        <v>866</v>
      </c>
    </row>
    <row r="278" ht="13.5" customHeight="1">
      <c r="B278" s="54"/>
      <c r="C278" s="38"/>
      <c r="D278" s="55"/>
      <c r="E278" s="56"/>
      <c r="F278" s="55"/>
      <c r="G278" s="55"/>
      <c r="H278" s="56"/>
      <c r="J278" s="57" t="str">
        <f t="shared" si="1"/>
        <v>BarinasEzequiel ZamoraSanta Barbará</v>
      </c>
      <c r="K278" s="50" t="s">
        <v>115</v>
      </c>
      <c r="L278" s="50" t="s">
        <v>116</v>
      </c>
      <c r="M278" s="50" t="s">
        <v>867</v>
      </c>
      <c r="N278" s="50" t="s">
        <v>510</v>
      </c>
      <c r="O278" s="50" t="s">
        <v>868</v>
      </c>
      <c r="P278" s="50" t="s">
        <v>869</v>
      </c>
    </row>
    <row r="279" ht="13.5" customHeight="1">
      <c r="B279" s="54"/>
      <c r="C279" s="38"/>
      <c r="D279" s="55"/>
      <c r="E279" s="56"/>
      <c r="F279" s="55"/>
      <c r="G279" s="55"/>
      <c r="H279" s="56"/>
      <c r="J279" s="57" t="str">
        <f t="shared" si="1"/>
        <v>BarinasEzequiel ZamoraJosé Ignacio Del Pumar Pedraza</v>
      </c>
      <c r="K279" s="50" t="s">
        <v>115</v>
      </c>
      <c r="L279" s="50" t="s">
        <v>116</v>
      </c>
      <c r="M279" s="50" t="s">
        <v>867</v>
      </c>
      <c r="N279" s="50" t="s">
        <v>510</v>
      </c>
      <c r="O279" s="50" t="s">
        <v>870</v>
      </c>
      <c r="P279" s="50" t="s">
        <v>871</v>
      </c>
    </row>
    <row r="280" ht="13.5" customHeight="1">
      <c r="B280" s="54"/>
      <c r="C280" s="38"/>
      <c r="D280" s="55"/>
      <c r="E280" s="56"/>
      <c r="F280" s="55"/>
      <c r="G280" s="55"/>
      <c r="H280" s="56"/>
      <c r="J280" s="57" t="str">
        <f t="shared" si="1"/>
        <v>BarinasEzequiel ZamoraPedro Briceño Méndez</v>
      </c>
      <c r="K280" s="50" t="s">
        <v>115</v>
      </c>
      <c r="L280" s="50" t="s">
        <v>116</v>
      </c>
      <c r="M280" s="50" t="s">
        <v>867</v>
      </c>
      <c r="N280" s="50" t="s">
        <v>510</v>
      </c>
      <c r="O280" s="50" t="s">
        <v>872</v>
      </c>
      <c r="P280" s="50" t="s">
        <v>873</v>
      </c>
    </row>
    <row r="281" ht="13.5" customHeight="1">
      <c r="B281" s="54"/>
      <c r="C281" s="38"/>
      <c r="D281" s="55"/>
      <c r="E281" s="56"/>
      <c r="F281" s="55"/>
      <c r="G281" s="55"/>
      <c r="H281" s="56"/>
      <c r="J281" s="57" t="str">
        <f t="shared" si="1"/>
        <v>BarinasEzequiel ZamoraRamón Ignacio Méndez</v>
      </c>
      <c r="K281" s="50" t="s">
        <v>115</v>
      </c>
      <c r="L281" s="50" t="s">
        <v>116</v>
      </c>
      <c r="M281" s="50" t="s">
        <v>867</v>
      </c>
      <c r="N281" s="50" t="s">
        <v>510</v>
      </c>
      <c r="O281" s="50" t="s">
        <v>874</v>
      </c>
      <c r="P281" s="50" t="s">
        <v>845</v>
      </c>
    </row>
    <row r="282" ht="13.5" customHeight="1">
      <c r="B282" s="54"/>
      <c r="C282" s="38"/>
      <c r="D282" s="55"/>
      <c r="E282" s="56"/>
      <c r="F282" s="55"/>
      <c r="G282" s="55"/>
      <c r="H282" s="56"/>
      <c r="J282" s="57" t="str">
        <f t="shared" si="1"/>
        <v>BarinasObisposObispos</v>
      </c>
      <c r="K282" s="50" t="s">
        <v>115</v>
      </c>
      <c r="L282" s="50" t="s">
        <v>116</v>
      </c>
      <c r="M282" s="50" t="s">
        <v>875</v>
      </c>
      <c r="N282" s="50" t="s">
        <v>527</v>
      </c>
      <c r="O282" s="50" t="s">
        <v>876</v>
      </c>
      <c r="P282" s="50" t="s">
        <v>527</v>
      </c>
    </row>
    <row r="283" ht="13.5" customHeight="1">
      <c r="B283" s="54"/>
      <c r="C283" s="38"/>
      <c r="D283" s="55"/>
      <c r="E283" s="56"/>
      <c r="F283" s="55"/>
      <c r="G283" s="55"/>
      <c r="H283" s="56"/>
      <c r="J283" s="57" t="str">
        <f t="shared" si="1"/>
        <v>BarinasObisposLa Luz</v>
      </c>
      <c r="K283" s="50" t="s">
        <v>115</v>
      </c>
      <c r="L283" s="50" t="s">
        <v>116</v>
      </c>
      <c r="M283" s="50" t="s">
        <v>875</v>
      </c>
      <c r="N283" s="50" t="s">
        <v>527</v>
      </c>
      <c r="O283" s="50" t="s">
        <v>877</v>
      </c>
      <c r="P283" s="50" t="s">
        <v>878</v>
      </c>
    </row>
    <row r="284" ht="13.5" customHeight="1">
      <c r="B284" s="54"/>
      <c r="C284" s="38"/>
      <c r="D284" s="55"/>
      <c r="E284" s="56"/>
      <c r="F284" s="55"/>
      <c r="G284" s="55"/>
      <c r="H284" s="56"/>
      <c r="J284" s="57" t="str">
        <f t="shared" si="1"/>
        <v>BarinasObisposEl Real</v>
      </c>
      <c r="K284" s="50" t="s">
        <v>115</v>
      </c>
      <c r="L284" s="50" t="s">
        <v>116</v>
      </c>
      <c r="M284" s="50" t="s">
        <v>875</v>
      </c>
      <c r="N284" s="50" t="s">
        <v>527</v>
      </c>
      <c r="O284" s="50" t="s">
        <v>879</v>
      </c>
      <c r="P284" s="50" t="s">
        <v>880</v>
      </c>
    </row>
    <row r="285" ht="13.5" customHeight="1">
      <c r="B285" s="54"/>
      <c r="C285" s="38"/>
      <c r="D285" s="55"/>
      <c r="E285" s="56"/>
      <c r="F285" s="55"/>
      <c r="G285" s="55"/>
      <c r="H285" s="56"/>
      <c r="J285" s="57" t="str">
        <f t="shared" si="1"/>
        <v>BarinasObisposGuasimitos</v>
      </c>
      <c r="K285" s="50" t="s">
        <v>115</v>
      </c>
      <c r="L285" s="50" t="s">
        <v>116</v>
      </c>
      <c r="M285" s="50" t="s">
        <v>875</v>
      </c>
      <c r="N285" s="50" t="s">
        <v>527</v>
      </c>
      <c r="O285" s="50" t="s">
        <v>881</v>
      </c>
      <c r="P285" s="50" t="s">
        <v>882</v>
      </c>
    </row>
    <row r="286" ht="13.5" customHeight="1">
      <c r="B286" s="54"/>
      <c r="C286" s="38"/>
      <c r="D286" s="55"/>
      <c r="E286" s="56"/>
      <c r="F286" s="55"/>
      <c r="G286" s="55"/>
      <c r="H286" s="56"/>
      <c r="J286" s="57" t="str">
        <f t="shared" si="1"/>
        <v>BarinasPedrazaCiudad Bolivia</v>
      </c>
      <c r="K286" s="50" t="s">
        <v>115</v>
      </c>
      <c r="L286" s="50" t="s">
        <v>116</v>
      </c>
      <c r="M286" s="50" t="s">
        <v>883</v>
      </c>
      <c r="N286" s="50" t="s">
        <v>535</v>
      </c>
      <c r="O286" s="50" t="s">
        <v>884</v>
      </c>
      <c r="P286" s="50" t="s">
        <v>885</v>
      </c>
    </row>
    <row r="287" ht="13.5" customHeight="1">
      <c r="B287" s="54"/>
      <c r="C287" s="38"/>
      <c r="D287" s="55"/>
      <c r="E287" s="56"/>
      <c r="F287" s="55"/>
      <c r="G287" s="55"/>
      <c r="H287" s="56"/>
      <c r="J287" s="57" t="str">
        <f t="shared" si="1"/>
        <v>BarinasPedrazaIgnacio Briceño</v>
      </c>
      <c r="K287" s="50" t="s">
        <v>115</v>
      </c>
      <c r="L287" s="50" t="s">
        <v>116</v>
      </c>
      <c r="M287" s="50" t="s">
        <v>883</v>
      </c>
      <c r="N287" s="50" t="s">
        <v>535</v>
      </c>
      <c r="O287" s="50" t="s">
        <v>886</v>
      </c>
      <c r="P287" s="50" t="s">
        <v>887</v>
      </c>
    </row>
    <row r="288" ht="13.5" customHeight="1">
      <c r="B288" s="54"/>
      <c r="C288" s="38"/>
      <c r="D288" s="55"/>
      <c r="E288" s="56"/>
      <c r="F288" s="55"/>
      <c r="G288" s="55"/>
      <c r="H288" s="56"/>
      <c r="J288" s="57" t="str">
        <f t="shared" si="1"/>
        <v>BarinasPedrazaJosé Félix Ribas</v>
      </c>
      <c r="K288" s="50" t="s">
        <v>115</v>
      </c>
      <c r="L288" s="50" t="s">
        <v>116</v>
      </c>
      <c r="M288" s="50" t="s">
        <v>883</v>
      </c>
      <c r="N288" s="50" t="s">
        <v>535</v>
      </c>
      <c r="O288" s="50" t="s">
        <v>888</v>
      </c>
      <c r="P288" s="50" t="s">
        <v>399</v>
      </c>
    </row>
    <row r="289" ht="13.5" customHeight="1">
      <c r="B289" s="54"/>
      <c r="C289" s="38"/>
      <c r="D289" s="55"/>
      <c r="E289" s="56"/>
      <c r="F289" s="55"/>
      <c r="G289" s="55"/>
      <c r="H289" s="56"/>
      <c r="J289" s="57" t="str">
        <f t="shared" si="1"/>
        <v>BarinasPedrazaPáez</v>
      </c>
      <c r="K289" s="50" t="s">
        <v>115</v>
      </c>
      <c r="L289" s="50" t="s">
        <v>116</v>
      </c>
      <c r="M289" s="50" t="s">
        <v>883</v>
      </c>
      <c r="N289" s="50" t="s">
        <v>535</v>
      </c>
      <c r="O289" s="50" t="s">
        <v>889</v>
      </c>
      <c r="P289" s="50" t="s">
        <v>365</v>
      </c>
    </row>
    <row r="290" ht="13.5" customHeight="1">
      <c r="B290" s="54"/>
      <c r="C290" s="38"/>
      <c r="D290" s="55"/>
      <c r="E290" s="56"/>
      <c r="F290" s="55"/>
      <c r="G290" s="55"/>
      <c r="H290" s="56"/>
      <c r="J290" s="57" t="str">
        <f t="shared" si="1"/>
        <v>BarinasRojasLibertad</v>
      </c>
      <c r="K290" s="50" t="s">
        <v>115</v>
      </c>
      <c r="L290" s="50" t="s">
        <v>116</v>
      </c>
      <c r="M290" s="50" t="s">
        <v>890</v>
      </c>
      <c r="N290" s="50" t="s">
        <v>542</v>
      </c>
      <c r="O290" s="50" t="s">
        <v>891</v>
      </c>
      <c r="P290" s="50" t="s">
        <v>273</v>
      </c>
    </row>
    <row r="291" ht="13.5" customHeight="1">
      <c r="B291" s="54"/>
      <c r="C291" s="38"/>
      <c r="D291" s="55"/>
      <c r="E291" s="56"/>
      <c r="F291" s="55"/>
      <c r="G291" s="55"/>
      <c r="H291" s="56"/>
      <c r="J291" s="57" t="str">
        <f t="shared" si="1"/>
        <v>BarinasRojasDolores</v>
      </c>
      <c r="K291" s="50" t="s">
        <v>115</v>
      </c>
      <c r="L291" s="50" t="s">
        <v>116</v>
      </c>
      <c r="M291" s="50" t="s">
        <v>890</v>
      </c>
      <c r="N291" s="50" t="s">
        <v>542</v>
      </c>
      <c r="O291" s="50" t="s">
        <v>892</v>
      </c>
      <c r="P291" s="50" t="s">
        <v>893</v>
      </c>
    </row>
    <row r="292" ht="13.5" customHeight="1">
      <c r="B292" s="54"/>
      <c r="C292" s="38"/>
      <c r="D292" s="55"/>
      <c r="E292" s="56"/>
      <c r="F292" s="55"/>
      <c r="G292" s="55"/>
      <c r="H292" s="56"/>
      <c r="J292" s="57" t="str">
        <f t="shared" si="1"/>
        <v>BarinasRojasPalacios Fajardo</v>
      </c>
      <c r="K292" s="50" t="s">
        <v>115</v>
      </c>
      <c r="L292" s="50" t="s">
        <v>116</v>
      </c>
      <c r="M292" s="50" t="s">
        <v>890</v>
      </c>
      <c r="N292" s="50" t="s">
        <v>542</v>
      </c>
      <c r="O292" s="50" t="s">
        <v>894</v>
      </c>
      <c r="P292" s="50" t="s">
        <v>895</v>
      </c>
    </row>
    <row r="293" ht="13.5" customHeight="1">
      <c r="B293" s="54"/>
      <c r="C293" s="38"/>
      <c r="D293" s="55"/>
      <c r="E293" s="56"/>
      <c r="F293" s="55"/>
      <c r="G293" s="55"/>
      <c r="H293" s="56"/>
      <c r="J293" s="57" t="str">
        <f t="shared" si="1"/>
        <v>BarinasRojasSanta Rosa</v>
      </c>
      <c r="K293" s="50" t="s">
        <v>115</v>
      </c>
      <c r="L293" s="50" t="s">
        <v>116</v>
      </c>
      <c r="M293" s="50" t="s">
        <v>890</v>
      </c>
      <c r="N293" s="50" t="s">
        <v>542</v>
      </c>
      <c r="O293" s="50" t="s">
        <v>896</v>
      </c>
      <c r="P293" s="50" t="s">
        <v>632</v>
      </c>
    </row>
    <row r="294" ht="13.5" customHeight="1">
      <c r="B294" s="54"/>
      <c r="C294" s="38"/>
      <c r="D294" s="55"/>
      <c r="E294" s="56"/>
      <c r="F294" s="55"/>
      <c r="G294" s="55"/>
      <c r="H294" s="56"/>
      <c r="J294" s="57" t="str">
        <f t="shared" si="1"/>
        <v>BarinasRojasSimón Rodríguez</v>
      </c>
      <c r="K294" s="50" t="s">
        <v>115</v>
      </c>
      <c r="L294" s="50" t="s">
        <v>116</v>
      </c>
      <c r="M294" s="50" t="s">
        <v>890</v>
      </c>
      <c r="N294" s="50" t="s">
        <v>542</v>
      </c>
      <c r="O294" s="50" t="s">
        <v>897</v>
      </c>
      <c r="P294" s="50" t="s">
        <v>330</v>
      </c>
    </row>
    <row r="295" ht="13.5" customHeight="1">
      <c r="B295" s="54"/>
      <c r="C295" s="38"/>
      <c r="D295" s="55"/>
      <c r="E295" s="56"/>
      <c r="F295" s="55"/>
      <c r="G295" s="55"/>
      <c r="H295" s="56"/>
      <c r="J295" s="57" t="str">
        <f t="shared" si="1"/>
        <v>BarinasSosaCiudad De Nutrias</v>
      </c>
      <c r="K295" s="50" t="s">
        <v>115</v>
      </c>
      <c r="L295" s="50" t="s">
        <v>116</v>
      </c>
      <c r="M295" s="50" t="s">
        <v>898</v>
      </c>
      <c r="N295" s="50" t="s">
        <v>550</v>
      </c>
      <c r="O295" s="50" t="s">
        <v>899</v>
      </c>
      <c r="P295" s="50" t="s">
        <v>900</v>
      </c>
    </row>
    <row r="296" ht="13.5" customHeight="1">
      <c r="B296" s="54"/>
      <c r="C296" s="38"/>
      <c r="D296" s="55"/>
      <c r="E296" s="56"/>
      <c r="F296" s="55"/>
      <c r="G296" s="55"/>
      <c r="H296" s="56"/>
      <c r="J296" s="57" t="str">
        <f t="shared" si="1"/>
        <v>BarinasSosaEl Regalo</v>
      </c>
      <c r="K296" s="50" t="s">
        <v>115</v>
      </c>
      <c r="L296" s="50" t="s">
        <v>116</v>
      </c>
      <c r="M296" s="50" t="s">
        <v>898</v>
      </c>
      <c r="N296" s="50" t="s">
        <v>550</v>
      </c>
      <c r="O296" s="50" t="s">
        <v>901</v>
      </c>
      <c r="P296" s="50" t="s">
        <v>902</v>
      </c>
    </row>
    <row r="297" ht="13.5" customHeight="1">
      <c r="B297" s="54"/>
      <c r="C297" s="38"/>
      <c r="D297" s="55"/>
      <c r="E297" s="56"/>
      <c r="F297" s="55"/>
      <c r="G297" s="55"/>
      <c r="H297" s="56"/>
      <c r="J297" s="57" t="str">
        <f t="shared" si="1"/>
        <v>BarinasSosaPuerto De Nutrias</v>
      </c>
      <c r="K297" s="50" t="s">
        <v>115</v>
      </c>
      <c r="L297" s="50" t="s">
        <v>116</v>
      </c>
      <c r="M297" s="50" t="s">
        <v>898</v>
      </c>
      <c r="N297" s="50" t="s">
        <v>550</v>
      </c>
      <c r="O297" s="50" t="s">
        <v>903</v>
      </c>
      <c r="P297" s="50" t="s">
        <v>904</v>
      </c>
    </row>
    <row r="298" ht="13.5" customHeight="1">
      <c r="B298" s="54"/>
      <c r="C298" s="38"/>
      <c r="D298" s="55"/>
      <c r="E298" s="56"/>
      <c r="F298" s="55"/>
      <c r="G298" s="55"/>
      <c r="H298" s="56"/>
      <c r="J298" s="57" t="str">
        <f t="shared" si="1"/>
        <v>BarinasSosaSanta Catalina</v>
      </c>
      <c r="K298" s="50" t="s">
        <v>115</v>
      </c>
      <c r="L298" s="50" t="s">
        <v>116</v>
      </c>
      <c r="M298" s="50" t="s">
        <v>898</v>
      </c>
      <c r="N298" s="50" t="s">
        <v>550</v>
      </c>
      <c r="O298" s="50" t="s">
        <v>905</v>
      </c>
      <c r="P298" s="50" t="s">
        <v>906</v>
      </c>
    </row>
    <row r="299" ht="13.5" customHeight="1">
      <c r="B299" s="54"/>
      <c r="C299" s="38"/>
      <c r="D299" s="55"/>
      <c r="E299" s="56"/>
      <c r="F299" s="55"/>
      <c r="G299" s="55"/>
      <c r="H299" s="56"/>
      <c r="J299" s="57" t="str">
        <f t="shared" si="1"/>
        <v>BarinasSosaSimón Bolívar</v>
      </c>
      <c r="K299" s="50" t="s">
        <v>115</v>
      </c>
      <c r="L299" s="50" t="s">
        <v>116</v>
      </c>
      <c r="M299" s="50" t="s">
        <v>898</v>
      </c>
      <c r="N299" s="50" t="s">
        <v>550</v>
      </c>
      <c r="O299" s="50" t="s">
        <v>907</v>
      </c>
      <c r="P299" s="50" t="s">
        <v>324</v>
      </c>
    </row>
    <row r="300" ht="13.5" customHeight="1">
      <c r="B300" s="54"/>
      <c r="C300" s="38"/>
      <c r="D300" s="55"/>
      <c r="E300" s="56"/>
      <c r="F300" s="55"/>
      <c r="G300" s="55"/>
      <c r="H300" s="56"/>
      <c r="J300" s="57" t="str">
        <f t="shared" si="1"/>
        <v>BarinasAndrés Eloy BlancoEl Cantón</v>
      </c>
      <c r="K300" s="50" t="s">
        <v>115</v>
      </c>
      <c r="L300" s="50" t="s">
        <v>116</v>
      </c>
      <c r="M300" s="50" t="s">
        <v>908</v>
      </c>
      <c r="N300" s="50" t="s">
        <v>456</v>
      </c>
      <c r="O300" s="50" t="s">
        <v>909</v>
      </c>
      <c r="P300" s="50" t="s">
        <v>910</v>
      </c>
    </row>
    <row r="301" ht="13.5" customHeight="1">
      <c r="B301" s="54"/>
      <c r="C301" s="38"/>
      <c r="D301" s="55"/>
      <c r="E301" s="56"/>
      <c r="F301" s="55"/>
      <c r="G301" s="55"/>
      <c r="H301" s="56"/>
      <c r="J301" s="57" t="str">
        <f t="shared" si="1"/>
        <v>BarinasAndrés Eloy BlancoSanta Cruz De Guacas</v>
      </c>
      <c r="K301" s="50" t="s">
        <v>115</v>
      </c>
      <c r="L301" s="50" t="s">
        <v>116</v>
      </c>
      <c r="M301" s="50" t="s">
        <v>908</v>
      </c>
      <c r="N301" s="50" t="s">
        <v>456</v>
      </c>
      <c r="O301" s="50" t="s">
        <v>911</v>
      </c>
      <c r="P301" s="50" t="s">
        <v>912</v>
      </c>
    </row>
    <row r="302" ht="13.5" customHeight="1">
      <c r="B302" s="54"/>
      <c r="C302" s="38"/>
      <c r="D302" s="55"/>
      <c r="E302" s="56"/>
      <c r="F302" s="55"/>
      <c r="G302" s="55"/>
      <c r="H302" s="56"/>
      <c r="J302" s="57" t="str">
        <f t="shared" si="1"/>
        <v>BarinasAndrés Eloy BlancoPuerto Vivas</v>
      </c>
      <c r="K302" s="50" t="s">
        <v>115</v>
      </c>
      <c r="L302" s="50" t="s">
        <v>116</v>
      </c>
      <c r="M302" s="50" t="s">
        <v>908</v>
      </c>
      <c r="N302" s="50" t="s">
        <v>456</v>
      </c>
      <c r="O302" s="50" t="s">
        <v>913</v>
      </c>
      <c r="P302" s="50" t="s">
        <v>914</v>
      </c>
    </row>
    <row r="303" ht="13.5" customHeight="1">
      <c r="B303" s="54"/>
      <c r="C303" s="38"/>
      <c r="D303" s="55"/>
      <c r="E303" s="56"/>
      <c r="F303" s="55"/>
      <c r="G303" s="55"/>
      <c r="H303" s="56"/>
      <c r="J303" s="57" t="str">
        <f t="shared" si="1"/>
        <v>BolívarCaroníCachamay</v>
      </c>
      <c r="K303" s="50" t="s">
        <v>128</v>
      </c>
      <c r="L303" s="50" t="s">
        <v>129</v>
      </c>
      <c r="M303" s="50" t="s">
        <v>915</v>
      </c>
      <c r="N303" s="50" t="s">
        <v>457</v>
      </c>
      <c r="O303" s="50" t="s">
        <v>916</v>
      </c>
      <c r="P303" s="50" t="s">
        <v>917</v>
      </c>
    </row>
    <row r="304" ht="13.5" customHeight="1">
      <c r="B304" s="54"/>
      <c r="C304" s="38"/>
      <c r="D304" s="55"/>
      <c r="E304" s="56"/>
      <c r="F304" s="55"/>
      <c r="G304" s="55"/>
      <c r="H304" s="56"/>
      <c r="J304" s="57" t="str">
        <f t="shared" si="1"/>
        <v>BolívarCaroníChirica</v>
      </c>
      <c r="K304" s="50" t="s">
        <v>128</v>
      </c>
      <c r="L304" s="50" t="s">
        <v>129</v>
      </c>
      <c r="M304" s="50" t="s">
        <v>915</v>
      </c>
      <c r="N304" s="50" t="s">
        <v>457</v>
      </c>
      <c r="O304" s="50" t="s">
        <v>918</v>
      </c>
      <c r="P304" s="50" t="s">
        <v>919</v>
      </c>
    </row>
    <row r="305" ht="13.5" customHeight="1">
      <c r="B305" s="54"/>
      <c r="C305" s="38"/>
      <c r="D305" s="55"/>
      <c r="E305" s="56"/>
      <c r="F305" s="55"/>
      <c r="G305" s="55"/>
      <c r="H305" s="56"/>
      <c r="J305" s="57" t="str">
        <f t="shared" si="1"/>
        <v>BolívarCaroníDalla Costa</v>
      </c>
      <c r="K305" s="50" t="s">
        <v>128</v>
      </c>
      <c r="L305" s="50" t="s">
        <v>129</v>
      </c>
      <c r="M305" s="50" t="s">
        <v>915</v>
      </c>
      <c r="N305" s="50" t="s">
        <v>457</v>
      </c>
      <c r="O305" s="50" t="s">
        <v>920</v>
      </c>
      <c r="P305" s="50" t="s">
        <v>921</v>
      </c>
    </row>
    <row r="306" ht="13.5" customHeight="1">
      <c r="B306" s="54"/>
      <c r="C306" s="38"/>
      <c r="D306" s="55"/>
      <c r="E306" s="56"/>
      <c r="F306" s="55"/>
      <c r="G306" s="55"/>
      <c r="H306" s="56"/>
      <c r="J306" s="57" t="str">
        <f t="shared" si="1"/>
        <v>BolívarCaroníOnce De Abril</v>
      </c>
      <c r="K306" s="50" t="s">
        <v>128</v>
      </c>
      <c r="L306" s="50" t="s">
        <v>129</v>
      </c>
      <c r="M306" s="50" t="s">
        <v>915</v>
      </c>
      <c r="N306" s="50" t="s">
        <v>457</v>
      </c>
      <c r="O306" s="50" t="s">
        <v>922</v>
      </c>
      <c r="P306" s="50" t="s">
        <v>923</v>
      </c>
    </row>
    <row r="307" ht="13.5" customHeight="1">
      <c r="B307" s="54"/>
      <c r="C307" s="38"/>
      <c r="D307" s="55"/>
      <c r="E307" s="56"/>
      <c r="F307" s="55"/>
      <c r="G307" s="55"/>
      <c r="H307" s="56"/>
      <c r="J307" s="57" t="str">
        <f t="shared" si="1"/>
        <v>BolívarCaroníSimón Bolívar</v>
      </c>
      <c r="K307" s="50" t="s">
        <v>128</v>
      </c>
      <c r="L307" s="50" t="s">
        <v>129</v>
      </c>
      <c r="M307" s="50" t="s">
        <v>915</v>
      </c>
      <c r="N307" s="50" t="s">
        <v>457</v>
      </c>
      <c r="O307" s="50" t="s">
        <v>924</v>
      </c>
      <c r="P307" s="50" t="s">
        <v>324</v>
      </c>
    </row>
    <row r="308" ht="13.5" customHeight="1">
      <c r="B308" s="54"/>
      <c r="C308" s="38"/>
      <c r="D308" s="55"/>
      <c r="E308" s="56"/>
      <c r="F308" s="55"/>
      <c r="G308" s="55"/>
      <c r="H308" s="56"/>
      <c r="J308" s="57" t="str">
        <f t="shared" si="1"/>
        <v>BolívarCaroníUnare</v>
      </c>
      <c r="K308" s="50" t="s">
        <v>128</v>
      </c>
      <c r="L308" s="50" t="s">
        <v>129</v>
      </c>
      <c r="M308" s="50" t="s">
        <v>915</v>
      </c>
      <c r="N308" s="50" t="s">
        <v>457</v>
      </c>
      <c r="O308" s="50" t="s">
        <v>925</v>
      </c>
      <c r="P308" s="50" t="s">
        <v>926</v>
      </c>
    </row>
    <row r="309" ht="13.5" customHeight="1">
      <c r="B309" s="54"/>
      <c r="C309" s="38"/>
      <c r="D309" s="55"/>
      <c r="E309" s="56"/>
      <c r="F309" s="55"/>
      <c r="G309" s="55"/>
      <c r="H309" s="56"/>
      <c r="J309" s="57" t="str">
        <f t="shared" si="1"/>
        <v>BolívarCaroníUniversidad</v>
      </c>
      <c r="K309" s="50" t="s">
        <v>128</v>
      </c>
      <c r="L309" s="50" t="s">
        <v>129</v>
      </c>
      <c r="M309" s="50" t="s">
        <v>915</v>
      </c>
      <c r="N309" s="50" t="s">
        <v>457</v>
      </c>
      <c r="O309" s="50" t="s">
        <v>927</v>
      </c>
      <c r="P309" s="50" t="s">
        <v>928</v>
      </c>
    </row>
    <row r="310" ht="13.5" customHeight="1">
      <c r="B310" s="54"/>
      <c r="C310" s="38"/>
      <c r="D310" s="55"/>
      <c r="E310" s="56"/>
      <c r="F310" s="55"/>
      <c r="G310" s="55"/>
      <c r="H310" s="56"/>
      <c r="J310" s="57" t="str">
        <f t="shared" si="1"/>
        <v>BolívarCaroníVista Al Sol</v>
      </c>
      <c r="K310" s="50" t="s">
        <v>128</v>
      </c>
      <c r="L310" s="50" t="s">
        <v>129</v>
      </c>
      <c r="M310" s="50" t="s">
        <v>915</v>
      </c>
      <c r="N310" s="50" t="s">
        <v>457</v>
      </c>
      <c r="O310" s="50" t="s">
        <v>929</v>
      </c>
      <c r="P310" s="50" t="s">
        <v>930</v>
      </c>
    </row>
    <row r="311" ht="13.5" customHeight="1">
      <c r="B311" s="54"/>
      <c r="C311" s="38"/>
      <c r="D311" s="55"/>
      <c r="E311" s="56"/>
      <c r="F311" s="55"/>
      <c r="G311" s="55"/>
      <c r="H311" s="56"/>
      <c r="J311" s="57" t="str">
        <f t="shared" si="1"/>
        <v>BolívarCaroníPozo Verde</v>
      </c>
      <c r="K311" s="50" t="s">
        <v>128</v>
      </c>
      <c r="L311" s="50" t="s">
        <v>129</v>
      </c>
      <c r="M311" s="50" t="s">
        <v>915</v>
      </c>
      <c r="N311" s="50" t="s">
        <v>457</v>
      </c>
      <c r="O311" s="50" t="s">
        <v>931</v>
      </c>
      <c r="P311" s="50" t="s">
        <v>932</v>
      </c>
    </row>
    <row r="312" ht="13.5" customHeight="1">
      <c r="B312" s="54"/>
      <c r="C312" s="38"/>
      <c r="D312" s="55"/>
      <c r="E312" s="56"/>
      <c r="F312" s="55"/>
      <c r="G312" s="55"/>
      <c r="H312" s="56"/>
      <c r="J312" s="57" t="str">
        <f t="shared" si="1"/>
        <v>BolívarCaroníYocoima</v>
      </c>
      <c r="K312" s="50" t="s">
        <v>128</v>
      </c>
      <c r="L312" s="50" t="s">
        <v>129</v>
      </c>
      <c r="M312" s="50" t="s">
        <v>915</v>
      </c>
      <c r="N312" s="50" t="s">
        <v>457</v>
      </c>
      <c r="O312" s="50" t="s">
        <v>933</v>
      </c>
      <c r="P312" s="50" t="s">
        <v>934</v>
      </c>
    </row>
    <row r="313" ht="13.5" customHeight="1">
      <c r="B313" s="54"/>
      <c r="C313" s="38"/>
      <c r="D313" s="55"/>
      <c r="E313" s="56"/>
      <c r="F313" s="55"/>
      <c r="G313" s="55"/>
      <c r="H313" s="56"/>
      <c r="J313" s="57" t="str">
        <f t="shared" si="1"/>
        <v>BolívarCaroníCinco De Julio</v>
      </c>
      <c r="K313" s="50" t="s">
        <v>128</v>
      </c>
      <c r="L313" s="50" t="s">
        <v>129</v>
      </c>
      <c r="M313" s="50" t="s">
        <v>915</v>
      </c>
      <c r="N313" s="50" t="s">
        <v>457</v>
      </c>
      <c r="O313" s="50" t="s">
        <v>935</v>
      </c>
      <c r="P313" s="50" t="s">
        <v>936</v>
      </c>
    </row>
    <row r="314" ht="13.5" customHeight="1">
      <c r="B314" s="54"/>
      <c r="C314" s="38"/>
      <c r="D314" s="55"/>
      <c r="E314" s="56"/>
      <c r="F314" s="55"/>
      <c r="G314" s="55"/>
      <c r="H314" s="56"/>
      <c r="J314" s="57" t="str">
        <f t="shared" si="1"/>
        <v>BolívarCedeñoSección Capital Cedeño</v>
      </c>
      <c r="K314" s="50" t="s">
        <v>128</v>
      </c>
      <c r="L314" s="50" t="s">
        <v>129</v>
      </c>
      <c r="M314" s="50" t="s">
        <v>937</v>
      </c>
      <c r="N314" s="50" t="s">
        <v>468</v>
      </c>
      <c r="O314" s="50" t="s">
        <v>938</v>
      </c>
      <c r="P314" s="50" t="s">
        <v>939</v>
      </c>
    </row>
    <row r="315" ht="13.5" customHeight="1">
      <c r="B315" s="54"/>
      <c r="C315" s="38"/>
      <c r="D315" s="55"/>
      <c r="E315" s="56"/>
      <c r="F315" s="55"/>
      <c r="G315" s="55"/>
      <c r="H315" s="56"/>
      <c r="J315" s="57" t="str">
        <f t="shared" si="1"/>
        <v>BolívarCedeñoAltagracia</v>
      </c>
      <c r="K315" s="50" t="s">
        <v>128</v>
      </c>
      <c r="L315" s="50" t="s">
        <v>129</v>
      </c>
      <c r="M315" s="50" t="s">
        <v>937</v>
      </c>
      <c r="N315" s="50" t="s">
        <v>468</v>
      </c>
      <c r="O315" s="50" t="s">
        <v>940</v>
      </c>
      <c r="P315" s="50" t="s">
        <v>36</v>
      </c>
    </row>
    <row r="316" ht="13.5" customHeight="1">
      <c r="B316" s="54"/>
      <c r="C316" s="38"/>
      <c r="D316" s="55"/>
      <c r="E316" s="56"/>
      <c r="F316" s="55"/>
      <c r="G316" s="55"/>
      <c r="H316" s="56"/>
      <c r="J316" s="57" t="str">
        <f t="shared" si="1"/>
        <v>BolívarCedeñoAscensión Farreras</v>
      </c>
      <c r="K316" s="50" t="s">
        <v>128</v>
      </c>
      <c r="L316" s="50" t="s">
        <v>129</v>
      </c>
      <c r="M316" s="50" t="s">
        <v>937</v>
      </c>
      <c r="N316" s="50" t="s">
        <v>468</v>
      </c>
      <c r="O316" s="50" t="s">
        <v>941</v>
      </c>
      <c r="P316" s="50" t="s">
        <v>942</v>
      </c>
    </row>
    <row r="317" ht="13.5" customHeight="1">
      <c r="B317" s="54"/>
      <c r="C317" s="38"/>
      <c r="D317" s="55"/>
      <c r="E317" s="56"/>
      <c r="F317" s="55"/>
      <c r="G317" s="55"/>
      <c r="H317" s="56"/>
      <c r="J317" s="57" t="str">
        <f t="shared" si="1"/>
        <v>BolívarCedeñoGuainiamo</v>
      </c>
      <c r="K317" s="50" t="s">
        <v>128</v>
      </c>
      <c r="L317" s="50" t="s">
        <v>129</v>
      </c>
      <c r="M317" s="50" t="s">
        <v>937</v>
      </c>
      <c r="N317" s="50" t="s">
        <v>468</v>
      </c>
      <c r="O317" s="50" t="s">
        <v>943</v>
      </c>
      <c r="P317" s="50" t="s">
        <v>944</v>
      </c>
    </row>
    <row r="318" ht="13.5" customHeight="1">
      <c r="B318" s="54"/>
      <c r="C318" s="38"/>
      <c r="D318" s="55"/>
      <c r="E318" s="56"/>
      <c r="F318" s="55"/>
      <c r="G318" s="55"/>
      <c r="H318" s="56"/>
      <c r="J318" s="57" t="str">
        <f t="shared" si="1"/>
        <v>BolívarCedeñoLa Urbana</v>
      </c>
      <c r="K318" s="50" t="s">
        <v>128</v>
      </c>
      <c r="L318" s="50" t="s">
        <v>129</v>
      </c>
      <c r="M318" s="50" t="s">
        <v>937</v>
      </c>
      <c r="N318" s="50" t="s">
        <v>468</v>
      </c>
      <c r="O318" s="50" t="s">
        <v>945</v>
      </c>
      <c r="P318" s="50" t="s">
        <v>946</v>
      </c>
    </row>
    <row r="319" ht="13.5" customHeight="1">
      <c r="B319" s="54"/>
      <c r="C319" s="38"/>
      <c r="D319" s="55"/>
      <c r="E319" s="56"/>
      <c r="F319" s="55"/>
      <c r="G319" s="55"/>
      <c r="H319" s="56"/>
      <c r="J319" s="57" t="str">
        <f t="shared" si="1"/>
        <v>BolívarCedeñoPijiguaos</v>
      </c>
      <c r="K319" s="50" t="s">
        <v>128</v>
      </c>
      <c r="L319" s="50" t="s">
        <v>129</v>
      </c>
      <c r="M319" s="50" t="s">
        <v>937</v>
      </c>
      <c r="N319" s="50" t="s">
        <v>468</v>
      </c>
      <c r="O319" s="50" t="s">
        <v>947</v>
      </c>
      <c r="P319" s="50" t="s">
        <v>948</v>
      </c>
    </row>
    <row r="320" ht="13.5" customHeight="1">
      <c r="B320" s="54"/>
      <c r="C320" s="38"/>
      <c r="D320" s="55"/>
      <c r="E320" s="56"/>
      <c r="F320" s="55"/>
      <c r="G320" s="55"/>
      <c r="H320" s="56"/>
      <c r="J320" s="57" t="str">
        <f t="shared" si="1"/>
        <v>BolívarEl CallaoSección Capital El Callao</v>
      </c>
      <c r="K320" s="50" t="s">
        <v>128</v>
      </c>
      <c r="L320" s="50" t="s">
        <v>129</v>
      </c>
      <c r="M320" s="50" t="s">
        <v>949</v>
      </c>
      <c r="N320" s="50" t="s">
        <v>479</v>
      </c>
      <c r="O320" s="50" t="s">
        <v>950</v>
      </c>
      <c r="P320" s="50" t="s">
        <v>951</v>
      </c>
    </row>
    <row r="321" ht="13.5" customHeight="1">
      <c r="B321" s="54"/>
      <c r="C321" s="38"/>
      <c r="D321" s="55"/>
      <c r="E321" s="56"/>
      <c r="F321" s="55"/>
      <c r="G321" s="55"/>
      <c r="H321" s="56"/>
      <c r="J321" s="57" t="str">
        <f t="shared" si="1"/>
        <v>BolívarGran SabanaSección Capital Gran Sabana</v>
      </c>
      <c r="K321" s="50" t="s">
        <v>128</v>
      </c>
      <c r="L321" s="50" t="s">
        <v>129</v>
      </c>
      <c r="M321" s="50" t="s">
        <v>952</v>
      </c>
      <c r="N321" s="50" t="s">
        <v>488</v>
      </c>
      <c r="O321" s="50" t="s">
        <v>953</v>
      </c>
      <c r="P321" s="50" t="s">
        <v>954</v>
      </c>
    </row>
    <row r="322" ht="13.5" customHeight="1">
      <c r="B322" s="54"/>
      <c r="C322" s="38"/>
      <c r="D322" s="55"/>
      <c r="E322" s="56"/>
      <c r="F322" s="55"/>
      <c r="G322" s="55"/>
      <c r="H322" s="56"/>
      <c r="J322" s="57" t="str">
        <f t="shared" si="1"/>
        <v>BolívarGran SabanaIkabaru</v>
      </c>
      <c r="K322" s="50" t="s">
        <v>128</v>
      </c>
      <c r="L322" s="50" t="s">
        <v>129</v>
      </c>
      <c r="M322" s="50" t="s">
        <v>952</v>
      </c>
      <c r="N322" s="50" t="s">
        <v>488</v>
      </c>
      <c r="O322" s="50" t="s">
        <v>955</v>
      </c>
      <c r="P322" s="50" t="s">
        <v>956</v>
      </c>
    </row>
    <row r="323" ht="13.5" customHeight="1">
      <c r="B323" s="54"/>
      <c r="C323" s="38"/>
      <c r="D323" s="55"/>
      <c r="E323" s="56"/>
      <c r="F323" s="55"/>
      <c r="G323" s="55"/>
      <c r="H323" s="56"/>
      <c r="J323" s="57" t="str">
        <f t="shared" si="1"/>
        <v>BolívarAngostura Del OrinocoAgua Salada</v>
      </c>
      <c r="K323" s="50" t="s">
        <v>128</v>
      </c>
      <c r="L323" s="50" t="s">
        <v>129</v>
      </c>
      <c r="M323" s="50" t="s">
        <v>957</v>
      </c>
      <c r="N323" s="50" t="s">
        <v>498</v>
      </c>
      <c r="O323" s="50" t="s">
        <v>958</v>
      </c>
      <c r="P323" s="50" t="s">
        <v>959</v>
      </c>
    </row>
    <row r="324" ht="13.5" customHeight="1">
      <c r="B324" s="54"/>
      <c r="C324" s="38"/>
      <c r="D324" s="55"/>
      <c r="E324" s="56"/>
      <c r="F324" s="55"/>
      <c r="G324" s="55"/>
      <c r="H324" s="56"/>
      <c r="J324" s="57" t="str">
        <f t="shared" si="1"/>
        <v>BolívarAngostura Del OrinocoCatedral</v>
      </c>
      <c r="K324" s="50" t="s">
        <v>128</v>
      </c>
      <c r="L324" s="50" t="s">
        <v>129</v>
      </c>
      <c r="M324" s="50" t="s">
        <v>957</v>
      </c>
      <c r="N324" s="50" t="s">
        <v>498</v>
      </c>
      <c r="O324" s="50" t="s">
        <v>960</v>
      </c>
      <c r="P324" s="50" t="s">
        <v>104</v>
      </c>
    </row>
    <row r="325" ht="13.5" customHeight="1">
      <c r="B325" s="54"/>
      <c r="C325" s="38"/>
      <c r="D325" s="55"/>
      <c r="E325" s="56"/>
      <c r="F325" s="55"/>
      <c r="G325" s="55"/>
      <c r="H325" s="56"/>
      <c r="J325" s="57" t="str">
        <f t="shared" si="1"/>
        <v>BolívarAngostura Del OrinocoJosé Antonio Páez</v>
      </c>
      <c r="K325" s="50" t="s">
        <v>128</v>
      </c>
      <c r="L325" s="50" t="s">
        <v>129</v>
      </c>
      <c r="M325" s="50" t="s">
        <v>957</v>
      </c>
      <c r="N325" s="50" t="s">
        <v>498</v>
      </c>
      <c r="O325" s="50" t="s">
        <v>961</v>
      </c>
      <c r="P325" s="50" t="s">
        <v>512</v>
      </c>
    </row>
    <row r="326" ht="13.5" customHeight="1">
      <c r="B326" s="54"/>
      <c r="C326" s="38"/>
      <c r="D326" s="55"/>
      <c r="E326" s="56"/>
      <c r="F326" s="55"/>
      <c r="G326" s="55"/>
      <c r="H326" s="56"/>
      <c r="J326" s="57" t="str">
        <f t="shared" si="1"/>
        <v>BolívarAngostura Del OrinocoLa Sabanita</v>
      </c>
      <c r="K326" s="50" t="s">
        <v>128</v>
      </c>
      <c r="L326" s="50" t="s">
        <v>129</v>
      </c>
      <c r="M326" s="50" t="s">
        <v>957</v>
      </c>
      <c r="N326" s="50" t="s">
        <v>498</v>
      </c>
      <c r="O326" s="50" t="s">
        <v>962</v>
      </c>
      <c r="P326" s="50" t="s">
        <v>963</v>
      </c>
    </row>
    <row r="327" ht="13.5" customHeight="1">
      <c r="B327" s="54"/>
      <c r="C327" s="38"/>
      <c r="D327" s="55"/>
      <c r="E327" s="56"/>
      <c r="F327" s="55"/>
      <c r="G327" s="55"/>
      <c r="H327" s="56"/>
      <c r="J327" s="57" t="str">
        <f t="shared" si="1"/>
        <v>BolívarAngostura Del OrinocoMarhuanta</v>
      </c>
      <c r="K327" s="50" t="s">
        <v>128</v>
      </c>
      <c r="L327" s="50" t="s">
        <v>129</v>
      </c>
      <c r="M327" s="50" t="s">
        <v>957</v>
      </c>
      <c r="N327" s="50" t="s">
        <v>498</v>
      </c>
      <c r="O327" s="50" t="s">
        <v>964</v>
      </c>
      <c r="P327" s="50" t="s">
        <v>965</v>
      </c>
    </row>
    <row r="328" ht="13.5" customHeight="1">
      <c r="B328" s="54"/>
      <c r="C328" s="38"/>
      <c r="D328" s="55"/>
      <c r="E328" s="56"/>
      <c r="F328" s="55"/>
      <c r="G328" s="55"/>
      <c r="H328" s="56"/>
      <c r="J328" s="57" t="str">
        <f t="shared" si="1"/>
        <v>BolívarAngostura Del OrinocoVista Hermosa</v>
      </c>
      <c r="K328" s="50" t="s">
        <v>128</v>
      </c>
      <c r="L328" s="50" t="s">
        <v>129</v>
      </c>
      <c r="M328" s="50" t="s">
        <v>957</v>
      </c>
      <c r="N328" s="50" t="s">
        <v>498</v>
      </c>
      <c r="O328" s="50" t="s">
        <v>966</v>
      </c>
      <c r="P328" s="50" t="s">
        <v>967</v>
      </c>
    </row>
    <row r="329" ht="13.5" customHeight="1">
      <c r="B329" s="54"/>
      <c r="C329" s="38"/>
      <c r="D329" s="55"/>
      <c r="E329" s="56"/>
      <c r="F329" s="55"/>
      <c r="G329" s="55"/>
      <c r="H329" s="56"/>
      <c r="J329" s="57" t="str">
        <f t="shared" si="1"/>
        <v>BolívarAngostura Del OrinocoOrinoco</v>
      </c>
      <c r="K329" s="50" t="s">
        <v>128</v>
      </c>
      <c r="L329" s="50" t="s">
        <v>129</v>
      </c>
      <c r="M329" s="50" t="s">
        <v>957</v>
      </c>
      <c r="N329" s="50" t="s">
        <v>498</v>
      </c>
      <c r="O329" s="50" t="s">
        <v>968</v>
      </c>
      <c r="P329" s="50" t="s">
        <v>969</v>
      </c>
    </row>
    <row r="330" ht="13.5" customHeight="1">
      <c r="B330" s="54"/>
      <c r="C330" s="38"/>
      <c r="D330" s="55"/>
      <c r="E330" s="56"/>
      <c r="F330" s="55"/>
      <c r="G330" s="55"/>
      <c r="H330" s="56"/>
      <c r="J330" s="57" t="str">
        <f t="shared" si="1"/>
        <v>BolívarAngostura Del OrinocoPanapana</v>
      </c>
      <c r="K330" s="50" t="s">
        <v>128</v>
      </c>
      <c r="L330" s="50" t="s">
        <v>129</v>
      </c>
      <c r="M330" s="50" t="s">
        <v>957</v>
      </c>
      <c r="N330" s="50" t="s">
        <v>498</v>
      </c>
      <c r="O330" s="50" t="s">
        <v>970</v>
      </c>
      <c r="P330" s="50" t="s">
        <v>971</v>
      </c>
    </row>
    <row r="331" ht="13.5" customHeight="1">
      <c r="B331" s="54"/>
      <c r="C331" s="38"/>
      <c r="D331" s="55"/>
      <c r="E331" s="56"/>
      <c r="F331" s="55"/>
      <c r="G331" s="55"/>
      <c r="H331" s="56"/>
      <c r="J331" s="57" t="str">
        <f t="shared" si="1"/>
        <v>BolívarAngostura Del OrinocoZea</v>
      </c>
      <c r="K331" s="50" t="s">
        <v>128</v>
      </c>
      <c r="L331" s="50" t="s">
        <v>129</v>
      </c>
      <c r="M331" s="50" t="s">
        <v>957</v>
      </c>
      <c r="N331" s="50" t="s">
        <v>498</v>
      </c>
      <c r="O331" s="50" t="s">
        <v>972</v>
      </c>
      <c r="P331" s="50" t="s">
        <v>973</v>
      </c>
    </row>
    <row r="332" ht="13.5" customHeight="1">
      <c r="B332" s="54"/>
      <c r="C332" s="38"/>
      <c r="D332" s="55"/>
      <c r="E332" s="56"/>
      <c r="F332" s="55"/>
      <c r="G332" s="55"/>
      <c r="H332" s="56"/>
      <c r="J332" s="57" t="str">
        <f t="shared" si="1"/>
        <v>BolívarPiarSección Capital Piar</v>
      </c>
      <c r="K332" s="50" t="s">
        <v>128</v>
      </c>
      <c r="L332" s="50" t="s">
        <v>129</v>
      </c>
      <c r="M332" s="50" t="s">
        <v>974</v>
      </c>
      <c r="N332" s="50" t="s">
        <v>507</v>
      </c>
      <c r="O332" s="50" t="s">
        <v>975</v>
      </c>
      <c r="P332" s="50" t="s">
        <v>976</v>
      </c>
    </row>
    <row r="333" ht="13.5" customHeight="1">
      <c r="B333" s="54"/>
      <c r="C333" s="38"/>
      <c r="D333" s="55"/>
      <c r="E333" s="56"/>
      <c r="F333" s="55"/>
      <c r="G333" s="55"/>
      <c r="H333" s="56"/>
      <c r="J333" s="57" t="str">
        <f t="shared" si="1"/>
        <v>BolívarPiarAndrés Eloy Blanco</v>
      </c>
      <c r="K333" s="50" t="s">
        <v>128</v>
      </c>
      <c r="L333" s="50" t="s">
        <v>129</v>
      </c>
      <c r="M333" s="50" t="s">
        <v>974</v>
      </c>
      <c r="N333" s="50" t="s">
        <v>507</v>
      </c>
      <c r="O333" s="50" t="s">
        <v>977</v>
      </c>
      <c r="P333" s="50" t="s">
        <v>456</v>
      </c>
    </row>
    <row r="334" ht="13.5" customHeight="1">
      <c r="B334" s="54"/>
      <c r="C334" s="38"/>
      <c r="D334" s="55"/>
      <c r="E334" s="56"/>
      <c r="F334" s="55"/>
      <c r="G334" s="55"/>
      <c r="H334" s="56"/>
      <c r="J334" s="57" t="str">
        <f t="shared" si="1"/>
        <v>BolívarPiarPedro Cova</v>
      </c>
      <c r="K334" s="50" t="s">
        <v>128</v>
      </c>
      <c r="L334" s="50" t="s">
        <v>129</v>
      </c>
      <c r="M334" s="50" t="s">
        <v>974</v>
      </c>
      <c r="N334" s="50" t="s">
        <v>507</v>
      </c>
      <c r="O334" s="50" t="s">
        <v>978</v>
      </c>
      <c r="P334" s="50" t="s">
        <v>979</v>
      </c>
    </row>
    <row r="335" ht="13.5" customHeight="1">
      <c r="B335" s="54"/>
      <c r="C335" s="38"/>
      <c r="D335" s="55"/>
      <c r="E335" s="56"/>
      <c r="F335" s="55"/>
      <c r="G335" s="55"/>
      <c r="H335" s="56"/>
      <c r="J335" s="57" t="str">
        <f t="shared" si="1"/>
        <v>BolívarBolivariano AngosturaCapital Angostura</v>
      </c>
      <c r="K335" s="50" t="s">
        <v>128</v>
      </c>
      <c r="L335" s="50" t="s">
        <v>129</v>
      </c>
      <c r="M335" s="50" t="s">
        <v>980</v>
      </c>
      <c r="N335" s="50" t="s">
        <v>516</v>
      </c>
      <c r="O335" s="50" t="s">
        <v>981</v>
      </c>
      <c r="P335" s="50" t="s">
        <v>982</v>
      </c>
    </row>
    <row r="336" ht="13.5" customHeight="1">
      <c r="B336" s="54"/>
      <c r="C336" s="38"/>
      <c r="D336" s="55"/>
      <c r="E336" s="56"/>
      <c r="F336" s="55"/>
      <c r="G336" s="55"/>
      <c r="H336" s="56"/>
      <c r="J336" s="57" t="str">
        <f t="shared" si="1"/>
        <v>BolívarBolivariano AngosturaBarceloneta</v>
      </c>
      <c r="K336" s="50" t="s">
        <v>128</v>
      </c>
      <c r="L336" s="50" t="s">
        <v>129</v>
      </c>
      <c r="M336" s="50" t="s">
        <v>980</v>
      </c>
      <c r="N336" s="50" t="s">
        <v>516</v>
      </c>
      <c r="O336" s="50" t="s">
        <v>983</v>
      </c>
      <c r="P336" s="50" t="s">
        <v>984</v>
      </c>
    </row>
    <row r="337" ht="13.5" customHeight="1">
      <c r="B337" s="54"/>
      <c r="C337" s="38"/>
      <c r="D337" s="55"/>
      <c r="E337" s="56"/>
      <c r="F337" s="55"/>
      <c r="G337" s="55"/>
      <c r="H337" s="56"/>
      <c r="J337" s="57" t="str">
        <f t="shared" si="1"/>
        <v>BolívarBolivariano AngosturaSan Francisco</v>
      </c>
      <c r="K337" s="50" t="s">
        <v>128</v>
      </c>
      <c r="L337" s="50" t="s">
        <v>129</v>
      </c>
      <c r="M337" s="50" t="s">
        <v>980</v>
      </c>
      <c r="N337" s="50" t="s">
        <v>516</v>
      </c>
      <c r="O337" s="50" t="s">
        <v>985</v>
      </c>
      <c r="P337" s="50" t="s">
        <v>638</v>
      </c>
    </row>
    <row r="338" ht="13.5" customHeight="1">
      <c r="B338" s="54"/>
      <c r="C338" s="38"/>
      <c r="D338" s="55"/>
      <c r="E338" s="56"/>
      <c r="F338" s="55"/>
      <c r="G338" s="55"/>
      <c r="H338" s="56"/>
      <c r="J338" s="57" t="str">
        <f t="shared" si="1"/>
        <v>BolívarBolivariano AngosturaSanta Bárbara</v>
      </c>
      <c r="K338" s="50" t="s">
        <v>128</v>
      </c>
      <c r="L338" s="50" t="s">
        <v>129</v>
      </c>
      <c r="M338" s="50" t="s">
        <v>980</v>
      </c>
      <c r="N338" s="50" t="s">
        <v>516</v>
      </c>
      <c r="O338" s="50" t="s">
        <v>986</v>
      </c>
      <c r="P338" s="50" t="s">
        <v>447</v>
      </c>
    </row>
    <row r="339" ht="13.5" customHeight="1">
      <c r="B339" s="54"/>
      <c r="C339" s="38"/>
      <c r="D339" s="55"/>
      <c r="E339" s="56"/>
      <c r="F339" s="55"/>
      <c r="G339" s="55"/>
      <c r="H339" s="56"/>
      <c r="J339" s="57" t="str">
        <f t="shared" si="1"/>
        <v>BolívarRoscioSección Capital Roscio</v>
      </c>
      <c r="K339" s="50" t="s">
        <v>128</v>
      </c>
      <c r="L339" s="50" t="s">
        <v>129</v>
      </c>
      <c r="M339" s="50" t="s">
        <v>987</v>
      </c>
      <c r="N339" s="50" t="s">
        <v>525</v>
      </c>
      <c r="O339" s="50" t="s">
        <v>988</v>
      </c>
      <c r="P339" s="50" t="s">
        <v>989</v>
      </c>
    </row>
    <row r="340" ht="13.5" customHeight="1">
      <c r="B340" s="54"/>
      <c r="C340" s="38"/>
      <c r="D340" s="55"/>
      <c r="E340" s="56"/>
      <c r="F340" s="55"/>
      <c r="G340" s="55"/>
      <c r="H340" s="56"/>
      <c r="J340" s="57" t="str">
        <f t="shared" si="1"/>
        <v>BolívarRoscioSalom</v>
      </c>
      <c r="K340" s="50" t="s">
        <v>128</v>
      </c>
      <c r="L340" s="50" t="s">
        <v>129</v>
      </c>
      <c r="M340" s="50" t="s">
        <v>987</v>
      </c>
      <c r="N340" s="50" t="s">
        <v>525</v>
      </c>
      <c r="O340" s="50" t="s">
        <v>990</v>
      </c>
      <c r="P340" s="50" t="s">
        <v>991</v>
      </c>
    </row>
    <row r="341" ht="13.5" customHeight="1">
      <c r="B341" s="54"/>
      <c r="C341" s="38"/>
      <c r="D341" s="55"/>
      <c r="E341" s="56"/>
      <c r="F341" s="55"/>
      <c r="G341" s="55"/>
      <c r="H341" s="56"/>
      <c r="J341" s="57" t="str">
        <f t="shared" si="1"/>
        <v>BolívarSifontesSección Capital Sifontes</v>
      </c>
      <c r="K341" s="50" t="s">
        <v>128</v>
      </c>
      <c r="L341" s="50" t="s">
        <v>129</v>
      </c>
      <c r="M341" s="50" t="s">
        <v>992</v>
      </c>
      <c r="N341" s="50" t="s">
        <v>533</v>
      </c>
      <c r="O341" s="50" t="s">
        <v>993</v>
      </c>
      <c r="P341" s="50" t="s">
        <v>994</v>
      </c>
    </row>
    <row r="342" ht="13.5" customHeight="1">
      <c r="B342" s="54"/>
      <c r="C342" s="38"/>
      <c r="D342" s="55"/>
      <c r="E342" s="56"/>
      <c r="F342" s="55"/>
      <c r="G342" s="55"/>
      <c r="H342" s="56"/>
      <c r="J342" s="57" t="str">
        <f t="shared" si="1"/>
        <v>BolívarSifontesDalla Costa</v>
      </c>
      <c r="K342" s="50" t="s">
        <v>128</v>
      </c>
      <c r="L342" s="50" t="s">
        <v>129</v>
      </c>
      <c r="M342" s="50" t="s">
        <v>992</v>
      </c>
      <c r="N342" s="50" t="s">
        <v>533</v>
      </c>
      <c r="O342" s="50" t="s">
        <v>995</v>
      </c>
      <c r="P342" s="50" t="s">
        <v>921</v>
      </c>
    </row>
    <row r="343" ht="13.5" customHeight="1">
      <c r="B343" s="54"/>
      <c r="C343" s="38"/>
      <c r="D343" s="55"/>
      <c r="E343" s="56"/>
      <c r="F343" s="55"/>
      <c r="G343" s="55"/>
      <c r="H343" s="56"/>
      <c r="J343" s="57" t="str">
        <f t="shared" si="1"/>
        <v>BolívarSifontesSan Isidro</v>
      </c>
      <c r="K343" s="50" t="s">
        <v>128</v>
      </c>
      <c r="L343" s="50" t="s">
        <v>129</v>
      </c>
      <c r="M343" s="50" t="s">
        <v>992</v>
      </c>
      <c r="N343" s="50" t="s">
        <v>533</v>
      </c>
      <c r="O343" s="50" t="s">
        <v>996</v>
      </c>
      <c r="P343" s="50" t="s">
        <v>997</v>
      </c>
    </row>
    <row r="344" ht="13.5" customHeight="1">
      <c r="B344" s="54"/>
      <c r="C344" s="38"/>
      <c r="D344" s="55"/>
      <c r="E344" s="56"/>
      <c r="F344" s="55"/>
      <c r="G344" s="55"/>
      <c r="H344" s="56"/>
      <c r="J344" s="57" t="str">
        <f t="shared" si="1"/>
        <v>BolívarSucreSección Capital Sucre</v>
      </c>
      <c r="K344" s="50" t="s">
        <v>128</v>
      </c>
      <c r="L344" s="50" t="s">
        <v>129</v>
      </c>
      <c r="M344" s="50" t="s">
        <v>998</v>
      </c>
      <c r="N344" s="50" t="s">
        <v>271</v>
      </c>
      <c r="O344" s="50" t="s">
        <v>999</v>
      </c>
      <c r="P344" s="50" t="s">
        <v>1000</v>
      </c>
    </row>
    <row r="345" ht="13.5" customHeight="1">
      <c r="B345" s="54"/>
      <c r="C345" s="38"/>
      <c r="D345" s="55"/>
      <c r="E345" s="56"/>
      <c r="F345" s="55"/>
      <c r="G345" s="55"/>
      <c r="H345" s="56"/>
      <c r="J345" s="57" t="str">
        <f t="shared" si="1"/>
        <v>BolívarSucreAriapo</v>
      </c>
      <c r="K345" s="50" t="s">
        <v>128</v>
      </c>
      <c r="L345" s="50" t="s">
        <v>129</v>
      </c>
      <c r="M345" s="50" t="s">
        <v>998</v>
      </c>
      <c r="N345" s="50" t="s">
        <v>271</v>
      </c>
      <c r="O345" s="50" t="s">
        <v>1001</v>
      </c>
      <c r="P345" s="50" t="s">
        <v>1002</v>
      </c>
    </row>
    <row r="346" ht="13.5" customHeight="1">
      <c r="B346" s="54"/>
      <c r="C346" s="38"/>
      <c r="D346" s="55"/>
      <c r="E346" s="56"/>
      <c r="F346" s="55"/>
      <c r="G346" s="55"/>
      <c r="H346" s="56"/>
      <c r="J346" s="57" t="str">
        <f t="shared" si="1"/>
        <v>BolívarSucreGuarataro</v>
      </c>
      <c r="K346" s="50" t="s">
        <v>128</v>
      </c>
      <c r="L346" s="50" t="s">
        <v>129</v>
      </c>
      <c r="M346" s="50" t="s">
        <v>998</v>
      </c>
      <c r="N346" s="50" t="s">
        <v>271</v>
      </c>
      <c r="O346" s="50" t="s">
        <v>1003</v>
      </c>
      <c r="P346" s="50" t="s">
        <v>1004</v>
      </c>
    </row>
    <row r="347" ht="13.5" customHeight="1">
      <c r="B347" s="54"/>
      <c r="C347" s="38"/>
      <c r="D347" s="55"/>
      <c r="E347" s="56"/>
      <c r="F347" s="55"/>
      <c r="G347" s="55"/>
      <c r="H347" s="56"/>
      <c r="J347" s="57" t="str">
        <f t="shared" si="1"/>
        <v>BolívarSucreLas Majadas</v>
      </c>
      <c r="K347" s="50" t="s">
        <v>128</v>
      </c>
      <c r="L347" s="50" t="s">
        <v>129</v>
      </c>
      <c r="M347" s="50" t="s">
        <v>998</v>
      </c>
      <c r="N347" s="50" t="s">
        <v>271</v>
      </c>
      <c r="O347" s="50" t="s">
        <v>1005</v>
      </c>
      <c r="P347" s="50" t="s">
        <v>1006</v>
      </c>
    </row>
    <row r="348" ht="13.5" customHeight="1">
      <c r="B348" s="54"/>
      <c r="C348" s="38"/>
      <c r="D348" s="55"/>
      <c r="E348" s="56"/>
      <c r="F348" s="55"/>
      <c r="G348" s="55"/>
      <c r="H348" s="56"/>
      <c r="J348" s="57" t="str">
        <f t="shared" si="1"/>
        <v>BolívarSucreMotiaco</v>
      </c>
      <c r="K348" s="50" t="s">
        <v>128</v>
      </c>
      <c r="L348" s="50" t="s">
        <v>129</v>
      </c>
      <c r="M348" s="50" t="s">
        <v>998</v>
      </c>
      <c r="N348" s="50" t="s">
        <v>271</v>
      </c>
      <c r="O348" s="50" t="s">
        <v>1007</v>
      </c>
      <c r="P348" s="50" t="s">
        <v>1008</v>
      </c>
    </row>
    <row r="349" ht="13.5" customHeight="1">
      <c r="B349" s="54"/>
      <c r="C349" s="38"/>
      <c r="D349" s="55"/>
      <c r="E349" s="56"/>
      <c r="F349" s="55"/>
      <c r="G349" s="55"/>
      <c r="H349" s="56"/>
      <c r="J349" s="57" t="str">
        <f t="shared" si="1"/>
        <v>BolívarPadre Pedro ChienSección Capital Padre Pedro Chien</v>
      </c>
      <c r="K349" s="50" t="s">
        <v>128</v>
      </c>
      <c r="L349" s="50" t="s">
        <v>129</v>
      </c>
      <c r="M349" s="50" t="s">
        <v>1009</v>
      </c>
      <c r="N349" s="50" t="s">
        <v>548</v>
      </c>
      <c r="O349" s="50" t="s">
        <v>1010</v>
      </c>
      <c r="P349" s="50" t="s">
        <v>1011</v>
      </c>
    </row>
    <row r="350" ht="13.5" customHeight="1">
      <c r="B350" s="54"/>
      <c r="C350" s="38"/>
      <c r="D350" s="55"/>
      <c r="E350" s="56"/>
      <c r="F350" s="55"/>
      <c r="G350" s="55"/>
      <c r="H350" s="56"/>
      <c r="J350" s="57" t="str">
        <f t="shared" si="1"/>
        <v>CaraboboBejumaUrbana Bejuma</v>
      </c>
      <c r="K350" s="50" t="s">
        <v>143</v>
      </c>
      <c r="L350" s="50" t="s">
        <v>144</v>
      </c>
      <c r="M350" s="50" t="s">
        <v>1012</v>
      </c>
      <c r="N350" s="50" t="s">
        <v>460</v>
      </c>
      <c r="O350" s="50" t="s">
        <v>1013</v>
      </c>
      <c r="P350" s="50" t="s">
        <v>1014</v>
      </c>
    </row>
    <row r="351" ht="13.5" customHeight="1">
      <c r="B351" s="54"/>
      <c r="C351" s="38"/>
      <c r="D351" s="55"/>
      <c r="E351" s="56"/>
      <c r="F351" s="55"/>
      <c r="G351" s="55"/>
      <c r="H351" s="56"/>
      <c r="J351" s="57" t="str">
        <f t="shared" si="1"/>
        <v>CaraboboBejumaNo Urbana Canoabo</v>
      </c>
      <c r="K351" s="50" t="s">
        <v>143</v>
      </c>
      <c r="L351" s="50" t="s">
        <v>144</v>
      </c>
      <c r="M351" s="50" t="s">
        <v>1012</v>
      </c>
      <c r="N351" s="50" t="s">
        <v>460</v>
      </c>
      <c r="O351" s="50" t="s">
        <v>1015</v>
      </c>
      <c r="P351" s="50" t="s">
        <v>1016</v>
      </c>
    </row>
    <row r="352" ht="13.5" customHeight="1">
      <c r="B352" s="54"/>
      <c r="C352" s="38"/>
      <c r="D352" s="55"/>
      <c r="E352" s="56"/>
      <c r="F352" s="55"/>
      <c r="G352" s="55"/>
      <c r="H352" s="56"/>
      <c r="J352" s="57" t="str">
        <f t="shared" si="1"/>
        <v>CaraboboBejumaNo Urbana Simón Bolívar</v>
      </c>
      <c r="K352" s="50" t="s">
        <v>143</v>
      </c>
      <c r="L352" s="50" t="s">
        <v>144</v>
      </c>
      <c r="M352" s="50" t="s">
        <v>1012</v>
      </c>
      <c r="N352" s="50" t="s">
        <v>460</v>
      </c>
      <c r="O352" s="50" t="s">
        <v>1017</v>
      </c>
      <c r="P352" s="50" t="s">
        <v>1018</v>
      </c>
    </row>
    <row r="353" ht="13.5" customHeight="1">
      <c r="B353" s="54"/>
      <c r="C353" s="38"/>
      <c r="D353" s="55"/>
      <c r="E353" s="56"/>
      <c r="F353" s="55"/>
      <c r="G353" s="55"/>
      <c r="H353" s="56"/>
      <c r="J353" s="57" t="str">
        <f t="shared" si="1"/>
        <v>CaraboboCarlos ArveloNo Urbana Guigue</v>
      </c>
      <c r="K353" s="50" t="s">
        <v>143</v>
      </c>
      <c r="L353" s="50" t="s">
        <v>144</v>
      </c>
      <c r="M353" s="50" t="s">
        <v>1019</v>
      </c>
      <c r="N353" s="50" t="s">
        <v>472</v>
      </c>
      <c r="O353" s="50" t="s">
        <v>1020</v>
      </c>
      <c r="P353" s="50" t="s">
        <v>1021</v>
      </c>
    </row>
    <row r="354" ht="13.5" customHeight="1">
      <c r="B354" s="54"/>
      <c r="C354" s="38"/>
      <c r="D354" s="55"/>
      <c r="E354" s="56"/>
      <c r="F354" s="55"/>
      <c r="G354" s="55"/>
      <c r="H354" s="56"/>
      <c r="J354" s="57" t="str">
        <f t="shared" si="1"/>
        <v>CaraboboCarlos ArveloNo Urbana Belen</v>
      </c>
      <c r="K354" s="50" t="s">
        <v>143</v>
      </c>
      <c r="L354" s="50" t="s">
        <v>144</v>
      </c>
      <c r="M354" s="50" t="s">
        <v>1019</v>
      </c>
      <c r="N354" s="50" t="s">
        <v>472</v>
      </c>
      <c r="O354" s="50" t="s">
        <v>1022</v>
      </c>
      <c r="P354" s="50" t="s">
        <v>1023</v>
      </c>
    </row>
    <row r="355" ht="13.5" customHeight="1">
      <c r="B355" s="54"/>
      <c r="C355" s="38"/>
      <c r="D355" s="55"/>
      <c r="E355" s="56"/>
      <c r="F355" s="55"/>
      <c r="G355" s="55"/>
      <c r="H355" s="56"/>
      <c r="J355" s="57" t="str">
        <f t="shared" si="1"/>
        <v>CaraboboCarlos ArveloNo Urbana Tacarigua Central</v>
      </c>
      <c r="K355" s="50" t="s">
        <v>143</v>
      </c>
      <c r="L355" s="50" t="s">
        <v>144</v>
      </c>
      <c r="M355" s="50" t="s">
        <v>1019</v>
      </c>
      <c r="N355" s="50" t="s">
        <v>472</v>
      </c>
      <c r="O355" s="50" t="s">
        <v>1024</v>
      </c>
      <c r="P355" s="50" t="s">
        <v>1025</v>
      </c>
    </row>
    <row r="356" ht="13.5" customHeight="1">
      <c r="B356" s="54"/>
      <c r="C356" s="38"/>
      <c r="D356" s="55"/>
      <c r="E356" s="56"/>
      <c r="F356" s="55"/>
      <c r="G356" s="55"/>
      <c r="H356" s="56"/>
      <c r="J356" s="57" t="str">
        <f t="shared" si="1"/>
        <v>CaraboboDiego IbarraUrbana Aguas Calientes</v>
      </c>
      <c r="K356" s="50" t="s">
        <v>143</v>
      </c>
      <c r="L356" s="50" t="s">
        <v>144</v>
      </c>
      <c r="M356" s="50" t="s">
        <v>1026</v>
      </c>
      <c r="N356" s="50" t="s">
        <v>481</v>
      </c>
      <c r="O356" s="50" t="s">
        <v>1027</v>
      </c>
      <c r="P356" s="50" t="s">
        <v>1028</v>
      </c>
    </row>
    <row r="357" ht="13.5" customHeight="1">
      <c r="B357" s="54"/>
      <c r="C357" s="38"/>
      <c r="D357" s="55"/>
      <c r="E357" s="56"/>
      <c r="F357" s="55"/>
      <c r="G357" s="55"/>
      <c r="H357" s="56"/>
      <c r="J357" s="57" t="str">
        <f t="shared" si="1"/>
        <v>CaraboboDiego IbarraUrbana Mariara</v>
      </c>
      <c r="K357" s="50" t="s">
        <v>143</v>
      </c>
      <c r="L357" s="50" t="s">
        <v>144</v>
      </c>
      <c r="M357" s="50" t="s">
        <v>1026</v>
      </c>
      <c r="N357" s="50" t="s">
        <v>481</v>
      </c>
      <c r="O357" s="50" t="s">
        <v>1029</v>
      </c>
      <c r="P357" s="50" t="s">
        <v>1030</v>
      </c>
    </row>
    <row r="358" ht="13.5" customHeight="1">
      <c r="B358" s="54"/>
      <c r="C358" s="38"/>
      <c r="D358" s="55"/>
      <c r="E358" s="56"/>
      <c r="F358" s="55"/>
      <c r="G358" s="55"/>
      <c r="H358" s="56"/>
      <c r="J358" s="57" t="str">
        <f t="shared" si="1"/>
        <v>CaraboboGuacaraUrbana Ciudad Alianza</v>
      </c>
      <c r="K358" s="50" t="s">
        <v>143</v>
      </c>
      <c r="L358" s="50" t="s">
        <v>144</v>
      </c>
      <c r="M358" s="50" t="s">
        <v>1031</v>
      </c>
      <c r="N358" s="50" t="s">
        <v>491</v>
      </c>
      <c r="O358" s="50" t="s">
        <v>1032</v>
      </c>
      <c r="P358" s="50" t="s">
        <v>1033</v>
      </c>
    </row>
    <row r="359" ht="13.5" customHeight="1">
      <c r="B359" s="54"/>
      <c r="C359" s="38"/>
      <c r="D359" s="55"/>
      <c r="E359" s="56"/>
      <c r="F359" s="55"/>
      <c r="G359" s="55"/>
      <c r="H359" s="56"/>
      <c r="J359" s="57" t="str">
        <f t="shared" si="1"/>
        <v>CaraboboGuacaraUrbana Guacara</v>
      </c>
      <c r="K359" s="50" t="s">
        <v>143</v>
      </c>
      <c r="L359" s="50" t="s">
        <v>144</v>
      </c>
      <c r="M359" s="50" t="s">
        <v>1031</v>
      </c>
      <c r="N359" s="50" t="s">
        <v>491</v>
      </c>
      <c r="O359" s="50" t="s">
        <v>1034</v>
      </c>
      <c r="P359" s="50" t="s">
        <v>1035</v>
      </c>
    </row>
    <row r="360" ht="13.5" customHeight="1">
      <c r="B360" s="54"/>
      <c r="C360" s="38"/>
      <c r="D360" s="55"/>
      <c r="E360" s="56"/>
      <c r="F360" s="55"/>
      <c r="G360" s="55"/>
      <c r="H360" s="56"/>
      <c r="J360" s="57" t="str">
        <f t="shared" si="1"/>
        <v>CaraboboGuacaraNo Urbana Yagua</v>
      </c>
      <c r="K360" s="50" t="s">
        <v>143</v>
      </c>
      <c r="L360" s="50" t="s">
        <v>144</v>
      </c>
      <c r="M360" s="50" t="s">
        <v>1031</v>
      </c>
      <c r="N360" s="50" t="s">
        <v>491</v>
      </c>
      <c r="O360" s="50" t="s">
        <v>1036</v>
      </c>
      <c r="P360" s="50" t="s">
        <v>1037</v>
      </c>
    </row>
    <row r="361" ht="13.5" customHeight="1">
      <c r="B361" s="54"/>
      <c r="C361" s="38"/>
      <c r="D361" s="55"/>
      <c r="E361" s="56"/>
      <c r="F361" s="55"/>
      <c r="G361" s="55"/>
      <c r="H361" s="56"/>
      <c r="J361" s="57" t="str">
        <f t="shared" si="1"/>
        <v>CaraboboJuan José MoraUrbana Morón</v>
      </c>
      <c r="K361" s="50" t="s">
        <v>143</v>
      </c>
      <c r="L361" s="50" t="s">
        <v>144</v>
      </c>
      <c r="M361" s="50" t="s">
        <v>1038</v>
      </c>
      <c r="N361" s="50" t="s">
        <v>500</v>
      </c>
      <c r="O361" s="50" t="s">
        <v>1039</v>
      </c>
      <c r="P361" s="50" t="s">
        <v>1040</v>
      </c>
    </row>
    <row r="362" ht="13.5" customHeight="1">
      <c r="B362" s="54"/>
      <c r="C362" s="38"/>
      <c r="D362" s="55"/>
      <c r="E362" s="56"/>
      <c r="F362" s="55"/>
      <c r="G362" s="55"/>
      <c r="H362" s="56"/>
      <c r="J362" s="57" t="str">
        <f t="shared" si="1"/>
        <v>CaraboboJuan José MoraNo Urbana Urama</v>
      </c>
      <c r="K362" s="50" t="s">
        <v>143</v>
      </c>
      <c r="L362" s="50" t="s">
        <v>144</v>
      </c>
      <c r="M362" s="50" t="s">
        <v>1038</v>
      </c>
      <c r="N362" s="50" t="s">
        <v>500</v>
      </c>
      <c r="O362" s="50" t="s">
        <v>1041</v>
      </c>
      <c r="P362" s="50" t="s">
        <v>1042</v>
      </c>
    </row>
    <row r="363" ht="13.5" customHeight="1">
      <c r="B363" s="54"/>
      <c r="C363" s="38"/>
      <c r="D363" s="55"/>
      <c r="E363" s="56"/>
      <c r="F363" s="55"/>
      <c r="G363" s="55"/>
      <c r="H363" s="56"/>
      <c r="J363" s="57" t="str">
        <f t="shared" si="1"/>
        <v>CaraboboLibertadorUrbana Tocuyito</v>
      </c>
      <c r="K363" s="50" t="s">
        <v>143</v>
      </c>
      <c r="L363" s="50" t="s">
        <v>144</v>
      </c>
      <c r="M363" s="50" t="s">
        <v>1043</v>
      </c>
      <c r="N363" s="50" t="s">
        <v>34</v>
      </c>
      <c r="O363" s="50" t="s">
        <v>1044</v>
      </c>
      <c r="P363" s="50" t="s">
        <v>1045</v>
      </c>
    </row>
    <row r="364" ht="13.5" customHeight="1">
      <c r="B364" s="54"/>
      <c r="C364" s="38"/>
      <c r="D364" s="55"/>
      <c r="E364" s="56"/>
      <c r="F364" s="55"/>
      <c r="G364" s="55"/>
      <c r="H364" s="56"/>
      <c r="J364" s="57" t="str">
        <f t="shared" si="1"/>
        <v>CaraboboLibertadorUrbana Independencia</v>
      </c>
      <c r="K364" s="50" t="s">
        <v>143</v>
      </c>
      <c r="L364" s="50" t="s">
        <v>144</v>
      </c>
      <c r="M364" s="50" t="s">
        <v>1043</v>
      </c>
      <c r="N364" s="50" t="s">
        <v>34</v>
      </c>
      <c r="O364" s="50" t="s">
        <v>1046</v>
      </c>
      <c r="P364" s="50" t="s">
        <v>1047</v>
      </c>
    </row>
    <row r="365" ht="13.5" customHeight="1">
      <c r="B365" s="54"/>
      <c r="C365" s="38"/>
      <c r="D365" s="55"/>
      <c r="E365" s="56"/>
      <c r="F365" s="55"/>
      <c r="G365" s="55"/>
      <c r="H365" s="56"/>
      <c r="J365" s="57" t="str">
        <f t="shared" si="1"/>
        <v>CaraboboLos GuayosUrbana Los Guayos</v>
      </c>
      <c r="K365" s="50" t="s">
        <v>143</v>
      </c>
      <c r="L365" s="50" t="s">
        <v>144</v>
      </c>
      <c r="M365" s="50" t="s">
        <v>1048</v>
      </c>
      <c r="N365" s="50" t="s">
        <v>518</v>
      </c>
      <c r="O365" s="50" t="s">
        <v>1049</v>
      </c>
      <c r="P365" s="50" t="s">
        <v>1050</v>
      </c>
    </row>
    <row r="366" ht="13.5" customHeight="1">
      <c r="B366" s="54"/>
      <c r="C366" s="38"/>
      <c r="D366" s="55"/>
      <c r="E366" s="56"/>
      <c r="F366" s="55"/>
      <c r="G366" s="55"/>
      <c r="H366" s="56"/>
      <c r="J366" s="57" t="str">
        <f t="shared" si="1"/>
        <v>CaraboboMirandaUrbana Miranda</v>
      </c>
      <c r="K366" s="50" t="s">
        <v>143</v>
      </c>
      <c r="L366" s="50" t="s">
        <v>144</v>
      </c>
      <c r="M366" s="50" t="s">
        <v>1051</v>
      </c>
      <c r="N366" s="50" t="s">
        <v>232</v>
      </c>
      <c r="O366" s="50" t="s">
        <v>1052</v>
      </c>
      <c r="P366" s="50" t="s">
        <v>1053</v>
      </c>
    </row>
    <row r="367" ht="13.5" customHeight="1">
      <c r="B367" s="54"/>
      <c r="C367" s="38"/>
      <c r="D367" s="55"/>
      <c r="E367" s="56"/>
      <c r="F367" s="55"/>
      <c r="G367" s="55"/>
      <c r="H367" s="56"/>
      <c r="J367" s="57" t="str">
        <f t="shared" si="1"/>
        <v>CaraboboMontalbánUrbana Montalbán</v>
      </c>
      <c r="K367" s="50" t="s">
        <v>143</v>
      </c>
      <c r="L367" s="50" t="s">
        <v>144</v>
      </c>
      <c r="M367" s="50" t="s">
        <v>1054</v>
      </c>
      <c r="N367" s="50" t="s">
        <v>536</v>
      </c>
      <c r="O367" s="50" t="s">
        <v>1055</v>
      </c>
      <c r="P367" s="50" t="s">
        <v>1056</v>
      </c>
    </row>
    <row r="368" ht="13.5" customHeight="1">
      <c r="B368" s="54"/>
      <c r="C368" s="38"/>
      <c r="D368" s="55"/>
      <c r="E368" s="56"/>
      <c r="F368" s="55"/>
      <c r="G368" s="55"/>
      <c r="H368" s="56"/>
      <c r="J368" s="57" t="str">
        <f t="shared" si="1"/>
        <v>CaraboboNaguanaguaUrbana Naguanagua</v>
      </c>
      <c r="K368" s="50" t="s">
        <v>143</v>
      </c>
      <c r="L368" s="50" t="s">
        <v>144</v>
      </c>
      <c r="M368" s="50" t="s">
        <v>1057</v>
      </c>
      <c r="N368" s="50" t="s">
        <v>544</v>
      </c>
      <c r="O368" s="50" t="s">
        <v>1058</v>
      </c>
      <c r="P368" s="50" t="s">
        <v>1059</v>
      </c>
    </row>
    <row r="369" ht="13.5" customHeight="1">
      <c r="B369" s="54"/>
      <c r="C369" s="38"/>
      <c r="D369" s="55"/>
      <c r="E369" s="56"/>
      <c r="F369" s="55"/>
      <c r="G369" s="55"/>
      <c r="H369" s="56"/>
      <c r="J369" s="57" t="str">
        <f t="shared" si="1"/>
        <v>CaraboboPuerto CabelloUrbana Bartolomé Salom</v>
      </c>
      <c r="K369" s="50" t="s">
        <v>143</v>
      </c>
      <c r="L369" s="50" t="s">
        <v>144</v>
      </c>
      <c r="M369" s="50" t="s">
        <v>1060</v>
      </c>
      <c r="N369" s="50" t="s">
        <v>551</v>
      </c>
      <c r="O369" s="50" t="s">
        <v>1061</v>
      </c>
      <c r="P369" s="50" t="s">
        <v>1062</v>
      </c>
    </row>
    <row r="370" ht="13.5" customHeight="1">
      <c r="B370" s="54"/>
      <c r="C370" s="38"/>
      <c r="D370" s="55"/>
      <c r="E370" s="56"/>
      <c r="F370" s="55"/>
      <c r="G370" s="55"/>
      <c r="H370" s="56"/>
      <c r="J370" s="57" t="str">
        <f t="shared" si="1"/>
        <v>CaraboboPuerto CabelloUrbana Democracia</v>
      </c>
      <c r="K370" s="50" t="s">
        <v>143</v>
      </c>
      <c r="L370" s="50" t="s">
        <v>144</v>
      </c>
      <c r="M370" s="50" t="s">
        <v>1060</v>
      </c>
      <c r="N370" s="50" t="s">
        <v>551</v>
      </c>
      <c r="O370" s="50" t="s">
        <v>1063</v>
      </c>
      <c r="P370" s="50" t="s">
        <v>1064</v>
      </c>
    </row>
    <row r="371" ht="13.5" customHeight="1">
      <c r="B371" s="54"/>
      <c r="C371" s="38"/>
      <c r="D371" s="55"/>
      <c r="E371" s="56"/>
      <c r="F371" s="55"/>
      <c r="G371" s="55"/>
      <c r="H371" s="56"/>
      <c r="J371" s="57" t="str">
        <f t="shared" si="1"/>
        <v>CaraboboPuerto CabelloUrbanafraternidad</v>
      </c>
      <c r="K371" s="50" t="s">
        <v>143</v>
      </c>
      <c r="L371" s="50" t="s">
        <v>144</v>
      </c>
      <c r="M371" s="50" t="s">
        <v>1060</v>
      </c>
      <c r="N371" s="50" t="s">
        <v>551</v>
      </c>
      <c r="O371" s="50" t="s">
        <v>1065</v>
      </c>
      <c r="P371" s="50" t="s">
        <v>1066</v>
      </c>
    </row>
    <row r="372" ht="13.5" customHeight="1">
      <c r="B372" s="54"/>
      <c r="C372" s="38"/>
      <c r="D372" s="55"/>
      <c r="E372" s="56"/>
      <c r="F372" s="55"/>
      <c r="G372" s="55"/>
      <c r="H372" s="56"/>
      <c r="J372" s="57" t="str">
        <f t="shared" si="1"/>
        <v>CaraboboPuerto CabelloUrbana Goaigoaza</v>
      </c>
      <c r="K372" s="50" t="s">
        <v>143</v>
      </c>
      <c r="L372" s="50" t="s">
        <v>144</v>
      </c>
      <c r="M372" s="50" t="s">
        <v>1060</v>
      </c>
      <c r="N372" s="50" t="s">
        <v>551</v>
      </c>
      <c r="O372" s="50" t="s">
        <v>1067</v>
      </c>
      <c r="P372" s="50" t="s">
        <v>1068</v>
      </c>
    </row>
    <row r="373" ht="13.5" customHeight="1">
      <c r="B373" s="54"/>
      <c r="C373" s="38"/>
      <c r="D373" s="55"/>
      <c r="E373" s="56"/>
      <c r="F373" s="55"/>
      <c r="G373" s="55"/>
      <c r="H373" s="56"/>
      <c r="J373" s="57" t="str">
        <f t="shared" si="1"/>
        <v>CaraboboPuerto CabelloUrbana Juan José Flores</v>
      </c>
      <c r="K373" s="50" t="s">
        <v>143</v>
      </c>
      <c r="L373" s="50" t="s">
        <v>144</v>
      </c>
      <c r="M373" s="50" t="s">
        <v>1060</v>
      </c>
      <c r="N373" s="50" t="s">
        <v>551</v>
      </c>
      <c r="O373" s="50" t="s">
        <v>1069</v>
      </c>
      <c r="P373" s="50" t="s">
        <v>1070</v>
      </c>
    </row>
    <row r="374" ht="13.5" customHeight="1">
      <c r="B374" s="54"/>
      <c r="C374" s="38"/>
      <c r="D374" s="55"/>
      <c r="E374" s="56"/>
      <c r="F374" s="55"/>
      <c r="G374" s="55"/>
      <c r="H374" s="56"/>
      <c r="J374" s="57" t="str">
        <f t="shared" si="1"/>
        <v>CaraboboPuerto CabelloUrbana Unión</v>
      </c>
      <c r="K374" s="50" t="s">
        <v>143</v>
      </c>
      <c r="L374" s="50" t="s">
        <v>144</v>
      </c>
      <c r="M374" s="50" t="s">
        <v>1060</v>
      </c>
      <c r="N374" s="50" t="s">
        <v>551</v>
      </c>
      <c r="O374" s="50" t="s">
        <v>1071</v>
      </c>
      <c r="P374" s="50" t="s">
        <v>1072</v>
      </c>
    </row>
    <row r="375" ht="13.5" customHeight="1">
      <c r="B375" s="54"/>
      <c r="C375" s="38"/>
      <c r="D375" s="55"/>
      <c r="E375" s="56"/>
      <c r="F375" s="55"/>
      <c r="G375" s="55"/>
      <c r="H375" s="56"/>
      <c r="J375" s="57" t="str">
        <f t="shared" si="1"/>
        <v>CaraboboPuerto CabelloNo Urbana Borburata</v>
      </c>
      <c r="K375" s="50" t="s">
        <v>143</v>
      </c>
      <c r="L375" s="50" t="s">
        <v>144</v>
      </c>
      <c r="M375" s="50" t="s">
        <v>1060</v>
      </c>
      <c r="N375" s="50" t="s">
        <v>551</v>
      </c>
      <c r="O375" s="50" t="s">
        <v>1073</v>
      </c>
      <c r="P375" s="50" t="s">
        <v>1074</v>
      </c>
    </row>
    <row r="376" ht="13.5" customHeight="1">
      <c r="B376" s="54"/>
      <c r="C376" s="38"/>
      <c r="D376" s="55"/>
      <c r="E376" s="56"/>
      <c r="F376" s="55"/>
      <c r="G376" s="55"/>
      <c r="H376" s="56"/>
      <c r="J376" s="57" t="str">
        <f t="shared" si="1"/>
        <v>CaraboboPuerto CabelloNo Urbana Patanemo</v>
      </c>
      <c r="K376" s="50" t="s">
        <v>143</v>
      </c>
      <c r="L376" s="50" t="s">
        <v>144</v>
      </c>
      <c r="M376" s="50" t="s">
        <v>1060</v>
      </c>
      <c r="N376" s="50" t="s">
        <v>551</v>
      </c>
      <c r="O376" s="50" t="s">
        <v>1075</v>
      </c>
      <c r="P376" s="50" t="s">
        <v>1076</v>
      </c>
    </row>
    <row r="377" ht="13.5" customHeight="1">
      <c r="B377" s="54"/>
      <c r="C377" s="38"/>
      <c r="D377" s="55"/>
      <c r="E377" s="56"/>
      <c r="F377" s="55"/>
      <c r="G377" s="55"/>
      <c r="H377" s="56"/>
      <c r="J377" s="57" t="str">
        <f t="shared" si="1"/>
        <v>CaraboboSan DiegoUrbana San Diego</v>
      </c>
      <c r="K377" s="50" t="s">
        <v>143</v>
      </c>
      <c r="L377" s="50" t="s">
        <v>144</v>
      </c>
      <c r="M377" s="50" t="s">
        <v>1077</v>
      </c>
      <c r="N377" s="50" t="s">
        <v>557</v>
      </c>
      <c r="O377" s="50" t="s">
        <v>1078</v>
      </c>
      <c r="P377" s="50" t="s">
        <v>1079</v>
      </c>
    </row>
    <row r="378" ht="13.5" customHeight="1">
      <c r="B378" s="54"/>
      <c r="C378" s="38"/>
      <c r="D378" s="55"/>
      <c r="E378" s="56"/>
      <c r="F378" s="55"/>
      <c r="G378" s="55"/>
      <c r="H378" s="56"/>
      <c r="J378" s="57" t="str">
        <f t="shared" si="1"/>
        <v>CaraboboSan JoaquínUrbana San Joaquín</v>
      </c>
      <c r="K378" s="50" t="s">
        <v>143</v>
      </c>
      <c r="L378" s="50" t="s">
        <v>144</v>
      </c>
      <c r="M378" s="50" t="s">
        <v>1080</v>
      </c>
      <c r="N378" s="50" t="s">
        <v>423</v>
      </c>
      <c r="O378" s="50" t="s">
        <v>1081</v>
      </c>
      <c r="P378" s="50" t="s">
        <v>1082</v>
      </c>
    </row>
    <row r="379" ht="13.5" customHeight="1">
      <c r="B379" s="54"/>
      <c r="C379" s="38"/>
      <c r="D379" s="55"/>
      <c r="E379" s="56"/>
      <c r="F379" s="55"/>
      <c r="G379" s="55"/>
      <c r="H379" s="56"/>
      <c r="J379" s="57" t="str">
        <f t="shared" si="1"/>
        <v>CaraboboValenciaUrbana Candelaria</v>
      </c>
      <c r="K379" s="50" t="s">
        <v>143</v>
      </c>
      <c r="L379" s="50" t="s">
        <v>144</v>
      </c>
      <c r="M379" s="50" t="s">
        <v>1083</v>
      </c>
      <c r="N379" s="50" t="s">
        <v>566</v>
      </c>
      <c r="O379" s="50" t="s">
        <v>1084</v>
      </c>
      <c r="P379" s="50" t="s">
        <v>1085</v>
      </c>
    </row>
    <row r="380" ht="13.5" customHeight="1">
      <c r="B380" s="54"/>
      <c r="C380" s="38"/>
      <c r="D380" s="55"/>
      <c r="E380" s="56"/>
      <c r="F380" s="55"/>
      <c r="G380" s="55"/>
      <c r="H380" s="56"/>
      <c r="J380" s="57" t="str">
        <f t="shared" si="1"/>
        <v>CaraboboValenciaUrbana Catedral</v>
      </c>
      <c r="K380" s="50" t="s">
        <v>143</v>
      </c>
      <c r="L380" s="50" t="s">
        <v>144</v>
      </c>
      <c r="M380" s="50" t="s">
        <v>1083</v>
      </c>
      <c r="N380" s="50" t="s">
        <v>566</v>
      </c>
      <c r="O380" s="50" t="s">
        <v>1086</v>
      </c>
      <c r="P380" s="50" t="s">
        <v>1087</v>
      </c>
    </row>
    <row r="381" ht="13.5" customHeight="1">
      <c r="B381" s="54"/>
      <c r="C381" s="38"/>
      <c r="D381" s="55"/>
      <c r="E381" s="56"/>
      <c r="F381" s="55"/>
      <c r="G381" s="55"/>
      <c r="H381" s="56"/>
      <c r="J381" s="57" t="str">
        <f t="shared" si="1"/>
        <v>CaraboboValenciaUrbana El Socorro</v>
      </c>
      <c r="K381" s="50" t="s">
        <v>143</v>
      </c>
      <c r="L381" s="50" t="s">
        <v>144</v>
      </c>
      <c r="M381" s="50" t="s">
        <v>1083</v>
      </c>
      <c r="N381" s="50" t="s">
        <v>566</v>
      </c>
      <c r="O381" s="50" t="s">
        <v>1088</v>
      </c>
      <c r="P381" s="50" t="s">
        <v>1089</v>
      </c>
    </row>
    <row r="382" ht="13.5" customHeight="1">
      <c r="B382" s="54"/>
      <c r="C382" s="38"/>
      <c r="D382" s="55"/>
      <c r="E382" s="56"/>
      <c r="F382" s="55"/>
      <c r="G382" s="55"/>
      <c r="H382" s="56"/>
      <c r="J382" s="57" t="str">
        <f t="shared" si="1"/>
        <v>CaraboboValenciaUrbana Miguel Peña</v>
      </c>
      <c r="K382" s="50" t="s">
        <v>143</v>
      </c>
      <c r="L382" s="50" t="s">
        <v>144</v>
      </c>
      <c r="M382" s="50" t="s">
        <v>1083</v>
      </c>
      <c r="N382" s="50" t="s">
        <v>566</v>
      </c>
      <c r="O382" s="50" t="s">
        <v>1090</v>
      </c>
      <c r="P382" s="50" t="s">
        <v>1091</v>
      </c>
    </row>
    <row r="383" ht="13.5" customHeight="1">
      <c r="B383" s="54"/>
      <c r="C383" s="38"/>
      <c r="D383" s="55"/>
      <c r="E383" s="56"/>
      <c r="F383" s="55"/>
      <c r="G383" s="55"/>
      <c r="H383" s="56"/>
      <c r="J383" s="57" t="str">
        <f t="shared" si="1"/>
        <v>CaraboboValenciaUrbana Rafael Urdaneta</v>
      </c>
      <c r="K383" s="50" t="s">
        <v>143</v>
      </c>
      <c r="L383" s="50" t="s">
        <v>144</v>
      </c>
      <c r="M383" s="50" t="s">
        <v>1083</v>
      </c>
      <c r="N383" s="50" t="s">
        <v>566</v>
      </c>
      <c r="O383" s="50" t="s">
        <v>1092</v>
      </c>
      <c r="P383" s="50" t="s">
        <v>1093</v>
      </c>
    </row>
    <row r="384" ht="13.5" customHeight="1">
      <c r="B384" s="54"/>
      <c r="C384" s="38"/>
      <c r="D384" s="55"/>
      <c r="E384" s="56"/>
      <c r="F384" s="55"/>
      <c r="G384" s="55"/>
      <c r="H384" s="56"/>
      <c r="J384" s="57" t="str">
        <f t="shared" si="1"/>
        <v>CaraboboValenciaUrbana San Blas</v>
      </c>
      <c r="K384" s="50" t="s">
        <v>143</v>
      </c>
      <c r="L384" s="50" t="s">
        <v>144</v>
      </c>
      <c r="M384" s="50" t="s">
        <v>1083</v>
      </c>
      <c r="N384" s="50" t="s">
        <v>566</v>
      </c>
      <c r="O384" s="50" t="s">
        <v>1094</v>
      </c>
      <c r="P384" s="50" t="s">
        <v>1095</v>
      </c>
    </row>
    <row r="385" ht="13.5" customHeight="1">
      <c r="B385" s="54"/>
      <c r="C385" s="38"/>
      <c r="D385" s="55"/>
      <c r="E385" s="56"/>
      <c r="F385" s="55"/>
      <c r="G385" s="55"/>
      <c r="H385" s="56"/>
      <c r="J385" s="57" t="str">
        <f t="shared" si="1"/>
        <v>CaraboboValenciaUrbana San José</v>
      </c>
      <c r="K385" s="50" t="s">
        <v>143</v>
      </c>
      <c r="L385" s="50" t="s">
        <v>144</v>
      </c>
      <c r="M385" s="50" t="s">
        <v>1083</v>
      </c>
      <c r="N385" s="50" t="s">
        <v>566</v>
      </c>
      <c r="O385" s="50" t="s">
        <v>1096</v>
      </c>
      <c r="P385" s="50" t="s">
        <v>1097</v>
      </c>
    </row>
    <row r="386" ht="13.5" customHeight="1">
      <c r="B386" s="54"/>
      <c r="C386" s="38"/>
      <c r="D386" s="55"/>
      <c r="E386" s="56"/>
      <c r="F386" s="55"/>
      <c r="G386" s="55"/>
      <c r="H386" s="56"/>
      <c r="J386" s="57" t="str">
        <f t="shared" si="1"/>
        <v>CaraboboValenciaUrbana Santa Rosa</v>
      </c>
      <c r="K386" s="50" t="s">
        <v>143</v>
      </c>
      <c r="L386" s="50" t="s">
        <v>144</v>
      </c>
      <c r="M386" s="50" t="s">
        <v>1083</v>
      </c>
      <c r="N386" s="50" t="s">
        <v>566</v>
      </c>
      <c r="O386" s="50" t="s">
        <v>1098</v>
      </c>
      <c r="P386" s="50" t="s">
        <v>1099</v>
      </c>
    </row>
    <row r="387" ht="13.5" customHeight="1">
      <c r="B387" s="54"/>
      <c r="C387" s="38"/>
      <c r="D387" s="55"/>
      <c r="E387" s="56"/>
      <c r="F387" s="55"/>
      <c r="G387" s="55"/>
      <c r="H387" s="56"/>
      <c r="J387" s="57" t="str">
        <f t="shared" si="1"/>
        <v>CaraboboValenciaNo Urbana Negro Primero</v>
      </c>
      <c r="K387" s="50" t="s">
        <v>143</v>
      </c>
      <c r="L387" s="50" t="s">
        <v>144</v>
      </c>
      <c r="M387" s="50" t="s">
        <v>1083</v>
      </c>
      <c r="N387" s="50" t="s">
        <v>566</v>
      </c>
      <c r="O387" s="50" t="s">
        <v>1100</v>
      </c>
      <c r="P387" s="50" t="s">
        <v>1101</v>
      </c>
    </row>
    <row r="388" ht="13.5" customHeight="1">
      <c r="B388" s="54"/>
      <c r="C388" s="38"/>
      <c r="D388" s="55"/>
      <c r="E388" s="56"/>
      <c r="F388" s="55"/>
      <c r="G388" s="55"/>
      <c r="H388" s="56"/>
      <c r="J388" s="57" t="str">
        <f t="shared" si="1"/>
        <v>CojedesAnzoáteguiCojedes</v>
      </c>
      <c r="K388" s="50" t="s">
        <v>156</v>
      </c>
      <c r="L388" s="50" t="s">
        <v>157</v>
      </c>
      <c r="M388" s="50" t="s">
        <v>1102</v>
      </c>
      <c r="N388" s="50" t="s">
        <v>67</v>
      </c>
      <c r="O388" s="50" t="s">
        <v>1103</v>
      </c>
      <c r="P388" s="50" t="s">
        <v>157</v>
      </c>
    </row>
    <row r="389" ht="13.5" customHeight="1">
      <c r="B389" s="54"/>
      <c r="C389" s="38"/>
      <c r="D389" s="55"/>
      <c r="E389" s="56"/>
      <c r="F389" s="55"/>
      <c r="G389" s="55"/>
      <c r="H389" s="56"/>
      <c r="J389" s="57" t="str">
        <f t="shared" si="1"/>
        <v>CojedesAnzoáteguiJuan De Mata Suarez</v>
      </c>
      <c r="K389" s="50" t="s">
        <v>156</v>
      </c>
      <c r="L389" s="50" t="s">
        <v>157</v>
      </c>
      <c r="M389" s="50" t="s">
        <v>1102</v>
      </c>
      <c r="N389" s="50" t="s">
        <v>67</v>
      </c>
      <c r="O389" s="50" t="s">
        <v>1104</v>
      </c>
      <c r="P389" s="50" t="s">
        <v>1105</v>
      </c>
    </row>
    <row r="390" ht="13.5" customHeight="1">
      <c r="B390" s="54"/>
      <c r="C390" s="38"/>
      <c r="D390" s="55"/>
      <c r="E390" s="56"/>
      <c r="F390" s="55"/>
      <c r="G390" s="55"/>
      <c r="H390" s="56"/>
      <c r="J390" s="57" t="str">
        <f t="shared" si="1"/>
        <v>CojedesTinaquilloTinaquillo</v>
      </c>
      <c r="K390" s="50" t="s">
        <v>156</v>
      </c>
      <c r="L390" s="50" t="s">
        <v>157</v>
      </c>
      <c r="M390" s="50" t="s">
        <v>1106</v>
      </c>
      <c r="N390" s="50" t="s">
        <v>466</v>
      </c>
      <c r="O390" s="50" t="s">
        <v>1107</v>
      </c>
      <c r="P390" s="50" t="s">
        <v>466</v>
      </c>
    </row>
    <row r="391" ht="13.5" customHeight="1">
      <c r="B391" s="54"/>
      <c r="C391" s="38"/>
      <c r="D391" s="55"/>
      <c r="E391" s="56"/>
      <c r="F391" s="55"/>
      <c r="G391" s="55"/>
      <c r="H391" s="56"/>
      <c r="J391" s="57" t="str">
        <f t="shared" si="1"/>
        <v>CojedesGirardotEl Baúl</v>
      </c>
      <c r="K391" s="50" t="s">
        <v>156</v>
      </c>
      <c r="L391" s="50" t="s">
        <v>157</v>
      </c>
      <c r="M391" s="50" t="s">
        <v>1108</v>
      </c>
      <c r="N391" s="50" t="s">
        <v>392</v>
      </c>
      <c r="O391" s="50" t="s">
        <v>1109</v>
      </c>
      <c r="P391" s="50" t="s">
        <v>1110</v>
      </c>
    </row>
    <row r="392" ht="13.5" customHeight="1">
      <c r="B392" s="54"/>
      <c r="C392" s="38"/>
      <c r="D392" s="55"/>
      <c r="E392" s="56"/>
      <c r="F392" s="55"/>
      <c r="G392" s="55"/>
      <c r="H392" s="56"/>
      <c r="J392" s="57" t="str">
        <f t="shared" si="1"/>
        <v>CojedesGirardotSucre</v>
      </c>
      <c r="K392" s="50" t="s">
        <v>156</v>
      </c>
      <c r="L392" s="50" t="s">
        <v>157</v>
      </c>
      <c r="M392" s="50" t="s">
        <v>1108</v>
      </c>
      <c r="N392" s="50" t="s">
        <v>392</v>
      </c>
      <c r="O392" s="50" t="s">
        <v>1111</v>
      </c>
      <c r="P392" s="50" t="s">
        <v>271</v>
      </c>
    </row>
    <row r="393" ht="13.5" customHeight="1">
      <c r="B393" s="54"/>
      <c r="C393" s="38"/>
      <c r="D393" s="55"/>
      <c r="E393" s="56"/>
      <c r="F393" s="55"/>
      <c r="G393" s="55"/>
      <c r="H393" s="56"/>
      <c r="J393" s="57" t="str">
        <f t="shared" si="1"/>
        <v>CojedesLima BlancoMacapo</v>
      </c>
      <c r="K393" s="50" t="s">
        <v>156</v>
      </c>
      <c r="L393" s="50" t="s">
        <v>157</v>
      </c>
      <c r="M393" s="50" t="s">
        <v>1112</v>
      </c>
      <c r="N393" s="50" t="s">
        <v>486</v>
      </c>
      <c r="O393" s="50" t="s">
        <v>1113</v>
      </c>
      <c r="P393" s="50" t="s">
        <v>1114</v>
      </c>
    </row>
    <row r="394" ht="13.5" customHeight="1">
      <c r="B394" s="54"/>
      <c r="C394" s="38"/>
      <c r="D394" s="55"/>
      <c r="E394" s="56"/>
      <c r="F394" s="55"/>
      <c r="G394" s="55"/>
      <c r="H394" s="56"/>
      <c r="J394" s="57" t="str">
        <f t="shared" si="1"/>
        <v>CojedesLima BlancoLa Aguadita</v>
      </c>
      <c r="K394" s="50" t="s">
        <v>156</v>
      </c>
      <c r="L394" s="50" t="s">
        <v>157</v>
      </c>
      <c r="M394" s="50" t="s">
        <v>1112</v>
      </c>
      <c r="N394" s="50" t="s">
        <v>486</v>
      </c>
      <c r="O394" s="50" t="s">
        <v>1115</v>
      </c>
      <c r="P394" s="50" t="s">
        <v>1116</v>
      </c>
    </row>
    <row r="395" ht="13.5" customHeight="1">
      <c r="B395" s="54"/>
      <c r="C395" s="38"/>
      <c r="D395" s="55"/>
      <c r="E395" s="56"/>
      <c r="F395" s="55"/>
      <c r="G395" s="55"/>
      <c r="H395" s="56"/>
      <c r="J395" s="57" t="str">
        <f t="shared" si="1"/>
        <v>CojedesPao De San Juan BautistaEl Pao</v>
      </c>
      <c r="K395" s="50" t="s">
        <v>156</v>
      </c>
      <c r="L395" s="50" t="s">
        <v>157</v>
      </c>
      <c r="M395" s="50" t="s">
        <v>1117</v>
      </c>
      <c r="N395" s="50" t="s">
        <v>496</v>
      </c>
      <c r="O395" s="50" t="s">
        <v>1118</v>
      </c>
      <c r="P395" s="50" t="s">
        <v>591</v>
      </c>
    </row>
    <row r="396" ht="13.5" customHeight="1">
      <c r="B396" s="54"/>
      <c r="C396" s="38"/>
      <c r="D396" s="55"/>
      <c r="E396" s="56"/>
      <c r="F396" s="55"/>
      <c r="G396" s="55"/>
      <c r="H396" s="56"/>
      <c r="J396" s="57" t="str">
        <f t="shared" si="1"/>
        <v>CojedesRicaurteLibertad De Cojedes</v>
      </c>
      <c r="K396" s="50" t="s">
        <v>156</v>
      </c>
      <c r="L396" s="50" t="s">
        <v>157</v>
      </c>
      <c r="M396" s="50" t="s">
        <v>1119</v>
      </c>
      <c r="N396" s="50" t="s">
        <v>505</v>
      </c>
      <c r="O396" s="50" t="s">
        <v>1120</v>
      </c>
      <c r="P396" s="50" t="s">
        <v>1121</v>
      </c>
    </row>
    <row r="397" ht="13.5" customHeight="1">
      <c r="B397" s="54"/>
      <c r="C397" s="38"/>
      <c r="D397" s="55"/>
      <c r="E397" s="56"/>
      <c r="F397" s="55"/>
      <c r="G397" s="55"/>
      <c r="H397" s="56"/>
      <c r="J397" s="57" t="str">
        <f t="shared" si="1"/>
        <v>CojedesRicaurteEl Amparo</v>
      </c>
      <c r="K397" s="50" t="s">
        <v>156</v>
      </c>
      <c r="L397" s="50" t="s">
        <v>157</v>
      </c>
      <c r="M397" s="50" t="s">
        <v>1119</v>
      </c>
      <c r="N397" s="50" t="s">
        <v>505</v>
      </c>
      <c r="O397" s="50" t="s">
        <v>1122</v>
      </c>
      <c r="P397" s="50" t="s">
        <v>700</v>
      </c>
    </row>
    <row r="398" ht="13.5" customHeight="1">
      <c r="B398" s="54"/>
      <c r="C398" s="38"/>
      <c r="D398" s="55"/>
      <c r="E398" s="56"/>
      <c r="F398" s="55"/>
      <c r="G398" s="55"/>
      <c r="H398" s="56"/>
      <c r="J398" s="57" t="str">
        <f t="shared" si="1"/>
        <v>CojedesRómulo GallegosRómulo Gallegos</v>
      </c>
      <c r="K398" s="50" t="s">
        <v>156</v>
      </c>
      <c r="L398" s="50" t="s">
        <v>157</v>
      </c>
      <c r="M398" s="50" t="s">
        <v>1123</v>
      </c>
      <c r="N398" s="50" t="s">
        <v>377</v>
      </c>
      <c r="O398" s="50" t="s">
        <v>1124</v>
      </c>
      <c r="P398" s="50" t="s">
        <v>377</v>
      </c>
    </row>
    <row r="399" ht="13.5" customHeight="1">
      <c r="B399" s="54"/>
      <c r="C399" s="38"/>
      <c r="D399" s="55"/>
      <c r="E399" s="56"/>
      <c r="F399" s="55"/>
      <c r="G399" s="55"/>
      <c r="H399" s="56"/>
      <c r="J399" s="57" t="str">
        <f t="shared" si="1"/>
        <v>CojedesEzequiel ZamoraSan Carlos De Austria</v>
      </c>
      <c r="K399" s="50" t="s">
        <v>156</v>
      </c>
      <c r="L399" s="50" t="s">
        <v>157</v>
      </c>
      <c r="M399" s="50" t="s">
        <v>1125</v>
      </c>
      <c r="N399" s="50" t="s">
        <v>510</v>
      </c>
      <c r="O399" s="50" t="s">
        <v>1126</v>
      </c>
      <c r="P399" s="50" t="s">
        <v>1127</v>
      </c>
    </row>
    <row r="400" ht="13.5" customHeight="1">
      <c r="B400" s="54"/>
      <c r="C400" s="38"/>
      <c r="D400" s="55"/>
      <c r="E400" s="56"/>
      <c r="F400" s="55"/>
      <c r="G400" s="55"/>
      <c r="H400" s="56"/>
      <c r="J400" s="57" t="str">
        <f t="shared" si="1"/>
        <v>CojedesEzequiel ZamoraJuan Ángel Bravo</v>
      </c>
      <c r="K400" s="50" t="s">
        <v>156</v>
      </c>
      <c r="L400" s="50" t="s">
        <v>157</v>
      </c>
      <c r="M400" s="50" t="s">
        <v>1125</v>
      </c>
      <c r="N400" s="50" t="s">
        <v>510</v>
      </c>
      <c r="O400" s="50" t="s">
        <v>1128</v>
      </c>
      <c r="P400" s="50" t="s">
        <v>1129</v>
      </c>
    </row>
    <row r="401" ht="13.5" customHeight="1">
      <c r="B401" s="54"/>
      <c r="C401" s="38"/>
      <c r="D401" s="55"/>
      <c r="E401" s="56"/>
      <c r="F401" s="55"/>
      <c r="G401" s="55"/>
      <c r="H401" s="56"/>
      <c r="J401" s="57" t="str">
        <f t="shared" si="1"/>
        <v>CojedesEzequiel ZamoraManuel Manrique</v>
      </c>
      <c r="K401" s="50" t="s">
        <v>156</v>
      </c>
      <c r="L401" s="50" t="s">
        <v>157</v>
      </c>
      <c r="M401" s="50" t="s">
        <v>1125</v>
      </c>
      <c r="N401" s="50" t="s">
        <v>510</v>
      </c>
      <c r="O401" s="50" t="s">
        <v>1130</v>
      </c>
      <c r="P401" s="50" t="s">
        <v>1131</v>
      </c>
    </row>
    <row r="402" ht="13.5" customHeight="1">
      <c r="B402" s="54"/>
      <c r="C402" s="38"/>
      <c r="D402" s="55"/>
      <c r="E402" s="56"/>
      <c r="F402" s="55"/>
      <c r="G402" s="55"/>
      <c r="H402" s="56"/>
      <c r="J402" s="57" t="str">
        <f t="shared" si="1"/>
        <v>CojedesTinacoGeneral En Jefe José Laurencio Silva</v>
      </c>
      <c r="K402" s="50" t="s">
        <v>156</v>
      </c>
      <c r="L402" s="50" t="s">
        <v>157</v>
      </c>
      <c r="M402" s="50" t="s">
        <v>1132</v>
      </c>
      <c r="N402" s="50" t="s">
        <v>532</v>
      </c>
      <c r="O402" s="50" t="s">
        <v>1133</v>
      </c>
      <c r="P402" s="50" t="s">
        <v>1134</v>
      </c>
    </row>
    <row r="403" ht="13.5" customHeight="1">
      <c r="B403" s="54"/>
      <c r="C403" s="38"/>
      <c r="D403" s="55"/>
      <c r="E403" s="56"/>
      <c r="F403" s="55"/>
      <c r="G403" s="55"/>
      <c r="H403" s="56"/>
      <c r="J403" s="57" t="str">
        <f t="shared" si="1"/>
        <v>Delta AmacuroAntonio DíazCuriapo</v>
      </c>
      <c r="K403" s="50" t="s">
        <v>168</v>
      </c>
      <c r="L403" s="50" t="s">
        <v>169</v>
      </c>
      <c r="M403" s="50" t="s">
        <v>1135</v>
      </c>
      <c r="N403" s="50" t="s">
        <v>455</v>
      </c>
      <c r="O403" s="50" t="s">
        <v>1136</v>
      </c>
      <c r="P403" s="50" t="s">
        <v>1137</v>
      </c>
    </row>
    <row r="404" ht="13.5" customHeight="1">
      <c r="B404" s="54"/>
      <c r="C404" s="38"/>
      <c r="D404" s="55"/>
      <c r="E404" s="56"/>
      <c r="F404" s="55"/>
      <c r="G404" s="55"/>
      <c r="H404" s="56"/>
      <c r="J404" s="57" t="str">
        <f t="shared" si="1"/>
        <v>Delta AmacuroAntonio DíazAlmirante Luis Brión</v>
      </c>
      <c r="K404" s="50" t="s">
        <v>168</v>
      </c>
      <c r="L404" s="50" t="s">
        <v>169</v>
      </c>
      <c r="M404" s="50" t="s">
        <v>1135</v>
      </c>
      <c r="N404" s="50" t="s">
        <v>455</v>
      </c>
      <c r="O404" s="50" t="s">
        <v>1138</v>
      </c>
      <c r="P404" s="50" t="s">
        <v>1139</v>
      </c>
    </row>
    <row r="405" ht="13.5" customHeight="1">
      <c r="B405" s="54"/>
      <c r="C405" s="38"/>
      <c r="D405" s="55"/>
      <c r="E405" s="56"/>
      <c r="F405" s="55"/>
      <c r="G405" s="55"/>
      <c r="H405" s="56"/>
      <c r="J405" s="57" t="str">
        <f t="shared" si="1"/>
        <v>Delta AmacuroAntonio DíazFrancisco Aniceto Lugo</v>
      </c>
      <c r="K405" s="50" t="s">
        <v>168</v>
      </c>
      <c r="L405" s="50" t="s">
        <v>169</v>
      </c>
      <c r="M405" s="50" t="s">
        <v>1135</v>
      </c>
      <c r="N405" s="50" t="s">
        <v>455</v>
      </c>
      <c r="O405" s="50" t="s">
        <v>1140</v>
      </c>
      <c r="P405" s="50" t="s">
        <v>1141</v>
      </c>
    </row>
    <row r="406" ht="13.5" customHeight="1">
      <c r="B406" s="54"/>
      <c r="C406" s="38"/>
      <c r="D406" s="55"/>
      <c r="E406" s="56"/>
      <c r="F406" s="55"/>
      <c r="G406" s="55"/>
      <c r="H406" s="56"/>
      <c r="J406" s="57" t="str">
        <f t="shared" si="1"/>
        <v>Delta AmacuroAntonio DíazManuel Renaud</v>
      </c>
      <c r="K406" s="50" t="s">
        <v>168</v>
      </c>
      <c r="L406" s="50" t="s">
        <v>169</v>
      </c>
      <c r="M406" s="50" t="s">
        <v>1135</v>
      </c>
      <c r="N406" s="50" t="s">
        <v>455</v>
      </c>
      <c r="O406" s="50" t="s">
        <v>1142</v>
      </c>
      <c r="P406" s="50" t="s">
        <v>1143</v>
      </c>
    </row>
    <row r="407" ht="13.5" customHeight="1">
      <c r="B407" s="54"/>
      <c r="C407" s="38"/>
      <c r="D407" s="55"/>
      <c r="E407" s="56"/>
      <c r="F407" s="55"/>
      <c r="G407" s="55"/>
      <c r="H407" s="56"/>
      <c r="J407" s="57" t="str">
        <f t="shared" si="1"/>
        <v>Delta AmacuroAntonio DíazPadre Barral</v>
      </c>
      <c r="K407" s="50" t="s">
        <v>168</v>
      </c>
      <c r="L407" s="50" t="s">
        <v>169</v>
      </c>
      <c r="M407" s="50" t="s">
        <v>1135</v>
      </c>
      <c r="N407" s="50" t="s">
        <v>455</v>
      </c>
      <c r="O407" s="50" t="s">
        <v>1144</v>
      </c>
      <c r="P407" s="50" t="s">
        <v>1145</v>
      </c>
    </row>
    <row r="408" ht="13.5" customHeight="1">
      <c r="B408" s="54"/>
      <c r="C408" s="38"/>
      <c r="D408" s="55"/>
      <c r="E408" s="56"/>
      <c r="F408" s="55"/>
      <c r="G408" s="55"/>
      <c r="H408" s="56"/>
      <c r="J408" s="57" t="str">
        <f t="shared" si="1"/>
        <v>Delta AmacuroAntonio DíazSantos De Abelgas</v>
      </c>
      <c r="K408" s="50" t="s">
        <v>168</v>
      </c>
      <c r="L408" s="50" t="s">
        <v>169</v>
      </c>
      <c r="M408" s="50" t="s">
        <v>1135</v>
      </c>
      <c r="N408" s="50" t="s">
        <v>455</v>
      </c>
      <c r="O408" s="50" t="s">
        <v>1146</v>
      </c>
      <c r="P408" s="50" t="s">
        <v>1147</v>
      </c>
    </row>
    <row r="409" ht="13.5" customHeight="1">
      <c r="B409" s="54"/>
      <c r="C409" s="38"/>
      <c r="D409" s="55"/>
      <c r="E409" s="56"/>
      <c r="F409" s="55"/>
      <c r="G409" s="55"/>
      <c r="H409" s="56"/>
      <c r="J409" s="57" t="str">
        <f t="shared" si="1"/>
        <v>Delta AmacuroCasacoimaImataca</v>
      </c>
      <c r="K409" s="50" t="s">
        <v>168</v>
      </c>
      <c r="L409" s="50" t="s">
        <v>169</v>
      </c>
      <c r="M409" s="50" t="s">
        <v>1148</v>
      </c>
      <c r="N409" s="50" t="s">
        <v>465</v>
      </c>
      <c r="O409" s="50" t="s">
        <v>1149</v>
      </c>
      <c r="P409" s="50" t="s">
        <v>1150</v>
      </c>
    </row>
    <row r="410" ht="13.5" customHeight="1">
      <c r="B410" s="54"/>
      <c r="C410" s="38"/>
      <c r="D410" s="55"/>
      <c r="E410" s="56"/>
      <c r="F410" s="55"/>
      <c r="G410" s="55"/>
      <c r="H410" s="56"/>
      <c r="J410" s="57" t="str">
        <f t="shared" si="1"/>
        <v>Delta AmacuroCasacoimaCinco De Julio</v>
      </c>
      <c r="K410" s="50" t="s">
        <v>168</v>
      </c>
      <c r="L410" s="50" t="s">
        <v>169</v>
      </c>
      <c r="M410" s="50" t="s">
        <v>1148</v>
      </c>
      <c r="N410" s="50" t="s">
        <v>465</v>
      </c>
      <c r="O410" s="50" t="s">
        <v>1151</v>
      </c>
      <c r="P410" s="50" t="s">
        <v>936</v>
      </c>
    </row>
    <row r="411" ht="13.5" customHeight="1">
      <c r="B411" s="54"/>
      <c r="C411" s="38"/>
      <c r="D411" s="55"/>
      <c r="E411" s="56"/>
      <c r="F411" s="55"/>
      <c r="G411" s="55"/>
      <c r="H411" s="56"/>
      <c r="J411" s="57" t="str">
        <f t="shared" si="1"/>
        <v>Delta AmacuroCasacoimaJuan Bautista Arismendi</v>
      </c>
      <c r="K411" s="50" t="s">
        <v>168</v>
      </c>
      <c r="L411" s="50" t="s">
        <v>169</v>
      </c>
      <c r="M411" s="50" t="s">
        <v>1148</v>
      </c>
      <c r="N411" s="50" t="s">
        <v>465</v>
      </c>
      <c r="O411" s="50" t="s">
        <v>1152</v>
      </c>
      <c r="P411" s="50" t="s">
        <v>1153</v>
      </c>
    </row>
    <row r="412" ht="13.5" customHeight="1">
      <c r="B412" s="54"/>
      <c r="C412" s="38"/>
      <c r="D412" s="55"/>
      <c r="E412" s="56"/>
      <c r="F412" s="55"/>
      <c r="G412" s="55"/>
      <c r="H412" s="56"/>
      <c r="J412" s="57" t="str">
        <f t="shared" si="1"/>
        <v>Delta AmacuroCasacoimaManuel Piar</v>
      </c>
      <c r="K412" s="50" t="s">
        <v>168</v>
      </c>
      <c r="L412" s="50" t="s">
        <v>169</v>
      </c>
      <c r="M412" s="50" t="s">
        <v>1148</v>
      </c>
      <c r="N412" s="50" t="s">
        <v>465</v>
      </c>
      <c r="O412" s="50" t="s">
        <v>1154</v>
      </c>
      <c r="P412" s="50" t="s">
        <v>1155</v>
      </c>
    </row>
    <row r="413" ht="13.5" customHeight="1">
      <c r="B413" s="54"/>
      <c r="C413" s="38"/>
      <c r="D413" s="55"/>
      <c r="E413" s="56"/>
      <c r="F413" s="55"/>
      <c r="G413" s="55"/>
      <c r="H413" s="56"/>
      <c r="J413" s="57" t="str">
        <f t="shared" si="1"/>
        <v>Delta AmacuroCasacoimaRómulo Gallegos</v>
      </c>
      <c r="K413" s="50" t="s">
        <v>168</v>
      </c>
      <c r="L413" s="50" t="s">
        <v>169</v>
      </c>
      <c r="M413" s="50" t="s">
        <v>1148</v>
      </c>
      <c r="N413" s="50" t="s">
        <v>465</v>
      </c>
      <c r="O413" s="50" t="s">
        <v>1156</v>
      </c>
      <c r="P413" s="50" t="s">
        <v>377</v>
      </c>
    </row>
    <row r="414" ht="13.5" customHeight="1">
      <c r="B414" s="54"/>
      <c r="C414" s="38"/>
      <c r="D414" s="55"/>
      <c r="E414" s="56"/>
      <c r="F414" s="55"/>
      <c r="G414" s="55"/>
      <c r="H414" s="56"/>
      <c r="J414" s="57" t="str">
        <f t="shared" si="1"/>
        <v>Delta AmacuroPedernalesPedernales</v>
      </c>
      <c r="K414" s="50" t="s">
        <v>168</v>
      </c>
      <c r="L414" s="50" t="s">
        <v>169</v>
      </c>
      <c r="M414" s="50" t="s">
        <v>1157</v>
      </c>
      <c r="N414" s="50" t="s">
        <v>477</v>
      </c>
      <c r="O414" s="50" t="s">
        <v>1158</v>
      </c>
      <c r="P414" s="50" t="s">
        <v>477</v>
      </c>
    </row>
    <row r="415" ht="13.5" customHeight="1">
      <c r="B415" s="54"/>
      <c r="C415" s="38"/>
      <c r="D415" s="55"/>
      <c r="E415" s="56"/>
      <c r="F415" s="55"/>
      <c r="G415" s="55"/>
      <c r="H415" s="56"/>
      <c r="J415" s="57" t="str">
        <f t="shared" si="1"/>
        <v>Delta AmacuroPedernalesLuis Beltrán Prieto Figueroa</v>
      </c>
      <c r="K415" s="50" t="s">
        <v>168</v>
      </c>
      <c r="L415" s="50" t="s">
        <v>169</v>
      </c>
      <c r="M415" s="50" t="s">
        <v>1157</v>
      </c>
      <c r="N415" s="50" t="s">
        <v>477</v>
      </c>
      <c r="O415" s="50" t="s">
        <v>1159</v>
      </c>
      <c r="P415" s="50" t="s">
        <v>1160</v>
      </c>
    </row>
    <row r="416" ht="13.5" customHeight="1">
      <c r="B416" s="54"/>
      <c r="C416" s="38"/>
      <c r="D416" s="55"/>
      <c r="E416" s="56"/>
      <c r="F416" s="55"/>
      <c r="G416" s="55"/>
      <c r="H416" s="56"/>
      <c r="J416" s="57" t="str">
        <f t="shared" si="1"/>
        <v>Delta AmacuroTucupitaSan José</v>
      </c>
      <c r="K416" s="50" t="s">
        <v>168</v>
      </c>
      <c r="L416" s="50" t="s">
        <v>169</v>
      </c>
      <c r="M416" s="50" t="s">
        <v>1161</v>
      </c>
      <c r="N416" s="50" t="s">
        <v>485</v>
      </c>
      <c r="O416" s="50" t="s">
        <v>1162</v>
      </c>
      <c r="P416" s="50" t="s">
        <v>247</v>
      </c>
    </row>
    <row r="417" ht="13.5" customHeight="1">
      <c r="B417" s="54"/>
      <c r="C417" s="38"/>
      <c r="D417" s="55"/>
      <c r="E417" s="56"/>
      <c r="F417" s="55"/>
      <c r="G417" s="55"/>
      <c r="H417" s="56"/>
      <c r="J417" s="57" t="str">
        <f t="shared" si="1"/>
        <v>Delta AmacuroTucupitaJosé Vidal Marcano</v>
      </c>
      <c r="K417" s="50" t="s">
        <v>168</v>
      </c>
      <c r="L417" s="50" t="s">
        <v>169</v>
      </c>
      <c r="M417" s="50" t="s">
        <v>1161</v>
      </c>
      <c r="N417" s="50" t="s">
        <v>485</v>
      </c>
      <c r="O417" s="50" t="s">
        <v>1163</v>
      </c>
      <c r="P417" s="50" t="s">
        <v>1164</v>
      </c>
    </row>
    <row r="418" ht="13.5" customHeight="1">
      <c r="B418" s="54"/>
      <c r="C418" s="38"/>
      <c r="D418" s="55"/>
      <c r="E418" s="56"/>
      <c r="F418" s="55"/>
      <c r="G418" s="55"/>
      <c r="H418" s="56"/>
      <c r="J418" s="57" t="str">
        <f t="shared" si="1"/>
        <v>Delta AmacuroTucupitaJuan Millán</v>
      </c>
      <c r="K418" s="50" t="s">
        <v>168</v>
      </c>
      <c r="L418" s="50" t="s">
        <v>169</v>
      </c>
      <c r="M418" s="50" t="s">
        <v>1161</v>
      </c>
      <c r="N418" s="50" t="s">
        <v>485</v>
      </c>
      <c r="O418" s="50" t="s">
        <v>1165</v>
      </c>
      <c r="P418" s="50" t="s">
        <v>1166</v>
      </c>
    </row>
    <row r="419" ht="13.5" customHeight="1">
      <c r="B419" s="54"/>
      <c r="C419" s="38"/>
      <c r="D419" s="55"/>
      <c r="E419" s="56"/>
      <c r="F419" s="55"/>
      <c r="G419" s="55"/>
      <c r="H419" s="56"/>
      <c r="J419" s="57" t="str">
        <f t="shared" si="1"/>
        <v>Delta AmacuroTucupitaLeonardo Ruiz Pineda</v>
      </c>
      <c r="K419" s="50" t="s">
        <v>168</v>
      </c>
      <c r="L419" s="50" t="s">
        <v>169</v>
      </c>
      <c r="M419" s="50" t="s">
        <v>1161</v>
      </c>
      <c r="N419" s="50" t="s">
        <v>485</v>
      </c>
      <c r="O419" s="50" t="s">
        <v>1167</v>
      </c>
      <c r="P419" s="50" t="s">
        <v>1168</v>
      </c>
    </row>
    <row r="420" ht="13.5" customHeight="1">
      <c r="B420" s="54"/>
      <c r="C420" s="38"/>
      <c r="D420" s="55"/>
      <c r="E420" s="56"/>
      <c r="F420" s="55"/>
      <c r="G420" s="55"/>
      <c r="H420" s="56"/>
      <c r="J420" s="57" t="str">
        <f t="shared" si="1"/>
        <v>Delta AmacuroTucupitaMariscal Antonio José De Sucre</v>
      </c>
      <c r="K420" s="50" t="s">
        <v>168</v>
      </c>
      <c r="L420" s="50" t="s">
        <v>169</v>
      </c>
      <c r="M420" s="50" t="s">
        <v>1161</v>
      </c>
      <c r="N420" s="50" t="s">
        <v>485</v>
      </c>
      <c r="O420" s="50" t="s">
        <v>1169</v>
      </c>
      <c r="P420" s="50" t="s">
        <v>1170</v>
      </c>
    </row>
    <row r="421" ht="13.5" customHeight="1">
      <c r="B421" s="54"/>
      <c r="C421" s="38"/>
      <c r="D421" s="55"/>
      <c r="E421" s="56"/>
      <c r="F421" s="55"/>
      <c r="G421" s="55"/>
      <c r="H421" s="56"/>
      <c r="J421" s="57" t="str">
        <f t="shared" si="1"/>
        <v>Delta AmacuroTucupitaMonseñor Argimiro García</v>
      </c>
      <c r="K421" s="50" t="s">
        <v>168</v>
      </c>
      <c r="L421" s="50" t="s">
        <v>169</v>
      </c>
      <c r="M421" s="50" t="s">
        <v>1161</v>
      </c>
      <c r="N421" s="50" t="s">
        <v>485</v>
      </c>
      <c r="O421" s="50" t="s">
        <v>1171</v>
      </c>
      <c r="P421" s="50" t="s">
        <v>1172</v>
      </c>
    </row>
    <row r="422" ht="13.5" customHeight="1">
      <c r="B422" s="54"/>
      <c r="C422" s="38"/>
      <c r="D422" s="55"/>
      <c r="E422" s="56"/>
      <c r="F422" s="55"/>
      <c r="G422" s="55"/>
      <c r="H422" s="56"/>
      <c r="J422" s="57" t="str">
        <f t="shared" si="1"/>
        <v>Delta AmacuroTucupitaSan Rafael</v>
      </c>
      <c r="K422" s="50" t="s">
        <v>168</v>
      </c>
      <c r="L422" s="50" t="s">
        <v>169</v>
      </c>
      <c r="M422" s="50" t="s">
        <v>1161</v>
      </c>
      <c r="N422" s="50" t="s">
        <v>485</v>
      </c>
      <c r="O422" s="50" t="s">
        <v>1173</v>
      </c>
      <c r="P422" s="50" t="s">
        <v>1174</v>
      </c>
    </row>
    <row r="423" ht="13.5" customHeight="1">
      <c r="B423" s="54"/>
      <c r="C423" s="38"/>
      <c r="D423" s="55"/>
      <c r="E423" s="56"/>
      <c r="F423" s="55"/>
      <c r="G423" s="55"/>
      <c r="H423" s="56"/>
      <c r="J423" s="57" t="str">
        <f t="shared" si="1"/>
        <v>Delta AmacuroTucupitaVirgen Del Valle</v>
      </c>
      <c r="K423" s="50" t="s">
        <v>168</v>
      </c>
      <c r="L423" s="50" t="s">
        <v>169</v>
      </c>
      <c r="M423" s="50" t="s">
        <v>1161</v>
      </c>
      <c r="N423" s="50" t="s">
        <v>485</v>
      </c>
      <c r="O423" s="50" t="s">
        <v>1175</v>
      </c>
      <c r="P423" s="50" t="s">
        <v>1176</v>
      </c>
    </row>
    <row r="424" ht="13.5" customHeight="1">
      <c r="B424" s="54"/>
      <c r="C424" s="38"/>
      <c r="D424" s="55"/>
      <c r="E424" s="56"/>
      <c r="F424" s="55"/>
      <c r="G424" s="55"/>
      <c r="H424" s="56"/>
      <c r="J424" s="57" t="str">
        <f t="shared" si="1"/>
        <v>FalcónAcostaSan Juan De Los Cayos</v>
      </c>
      <c r="K424" s="50" t="s">
        <v>181</v>
      </c>
      <c r="L424" s="50" t="s">
        <v>182</v>
      </c>
      <c r="M424" s="50" t="s">
        <v>1177</v>
      </c>
      <c r="N424" s="50" t="s">
        <v>459</v>
      </c>
      <c r="O424" s="50" t="s">
        <v>1178</v>
      </c>
      <c r="P424" s="50" t="s">
        <v>1179</v>
      </c>
    </row>
    <row r="425" ht="13.5" customHeight="1">
      <c r="B425" s="54"/>
      <c r="C425" s="38"/>
      <c r="D425" s="55"/>
      <c r="E425" s="56"/>
      <c r="F425" s="55"/>
      <c r="G425" s="55"/>
      <c r="H425" s="56"/>
      <c r="J425" s="57" t="str">
        <f t="shared" si="1"/>
        <v>FalcónAcostaCapadare</v>
      </c>
      <c r="K425" s="50" t="s">
        <v>181</v>
      </c>
      <c r="L425" s="50" t="s">
        <v>182</v>
      </c>
      <c r="M425" s="50" t="s">
        <v>1177</v>
      </c>
      <c r="N425" s="50" t="s">
        <v>459</v>
      </c>
      <c r="O425" s="50" t="s">
        <v>1180</v>
      </c>
      <c r="P425" s="50" t="s">
        <v>1181</v>
      </c>
    </row>
    <row r="426" ht="13.5" customHeight="1">
      <c r="B426" s="54"/>
      <c r="C426" s="38"/>
      <c r="D426" s="55"/>
      <c r="E426" s="56"/>
      <c r="F426" s="55"/>
      <c r="G426" s="55"/>
      <c r="H426" s="56"/>
      <c r="J426" s="57" t="str">
        <f t="shared" si="1"/>
        <v>FalcónAcostaLa Pastora</v>
      </c>
      <c r="K426" s="50" t="s">
        <v>181</v>
      </c>
      <c r="L426" s="50" t="s">
        <v>182</v>
      </c>
      <c r="M426" s="50" t="s">
        <v>1177</v>
      </c>
      <c r="N426" s="50" t="s">
        <v>459</v>
      </c>
      <c r="O426" s="50" t="s">
        <v>1182</v>
      </c>
      <c r="P426" s="50" t="s">
        <v>186</v>
      </c>
    </row>
    <row r="427" ht="13.5" customHeight="1">
      <c r="B427" s="54"/>
      <c r="C427" s="38"/>
      <c r="D427" s="55"/>
      <c r="E427" s="56"/>
      <c r="F427" s="55"/>
      <c r="G427" s="55"/>
      <c r="H427" s="56"/>
      <c r="J427" s="57" t="str">
        <f t="shared" si="1"/>
        <v>FalcónAcostaLibertador</v>
      </c>
      <c r="K427" s="50" t="s">
        <v>181</v>
      </c>
      <c r="L427" s="50" t="s">
        <v>182</v>
      </c>
      <c r="M427" s="50" t="s">
        <v>1177</v>
      </c>
      <c r="N427" s="50" t="s">
        <v>459</v>
      </c>
      <c r="O427" s="50" t="s">
        <v>1183</v>
      </c>
      <c r="P427" s="50" t="s">
        <v>34</v>
      </c>
    </row>
    <row r="428" ht="13.5" customHeight="1">
      <c r="B428" s="54"/>
      <c r="C428" s="38"/>
      <c r="D428" s="55"/>
      <c r="E428" s="56"/>
      <c r="F428" s="55"/>
      <c r="G428" s="55"/>
      <c r="H428" s="56"/>
      <c r="J428" s="57" t="str">
        <f t="shared" si="1"/>
        <v>FalcónBolívarSan Luis</v>
      </c>
      <c r="K428" s="50" t="s">
        <v>181</v>
      </c>
      <c r="L428" s="50" t="s">
        <v>182</v>
      </c>
      <c r="M428" s="50" t="s">
        <v>1184</v>
      </c>
      <c r="N428" s="50" t="s">
        <v>129</v>
      </c>
      <c r="O428" s="50" t="s">
        <v>1185</v>
      </c>
      <c r="P428" s="50" t="s">
        <v>1186</v>
      </c>
    </row>
    <row r="429" ht="13.5" customHeight="1">
      <c r="B429" s="54"/>
      <c r="C429" s="38"/>
      <c r="D429" s="55"/>
      <c r="E429" s="56"/>
      <c r="F429" s="55"/>
      <c r="G429" s="55"/>
      <c r="H429" s="56"/>
      <c r="J429" s="57" t="str">
        <f t="shared" si="1"/>
        <v>FalcónBolívarAracua</v>
      </c>
      <c r="K429" s="50" t="s">
        <v>181</v>
      </c>
      <c r="L429" s="50" t="s">
        <v>182</v>
      </c>
      <c r="M429" s="50" t="s">
        <v>1184</v>
      </c>
      <c r="N429" s="50" t="s">
        <v>129</v>
      </c>
      <c r="O429" s="50" t="s">
        <v>1187</v>
      </c>
      <c r="P429" s="50" t="s">
        <v>1188</v>
      </c>
    </row>
    <row r="430" ht="13.5" customHeight="1">
      <c r="B430" s="54"/>
      <c r="C430" s="38"/>
      <c r="D430" s="55"/>
      <c r="E430" s="56"/>
      <c r="F430" s="55"/>
      <c r="G430" s="55"/>
      <c r="H430" s="56"/>
      <c r="J430" s="57" t="str">
        <f t="shared" si="1"/>
        <v>FalcónBolívarLa Peña</v>
      </c>
      <c r="K430" s="50" t="s">
        <v>181</v>
      </c>
      <c r="L430" s="50" t="s">
        <v>182</v>
      </c>
      <c r="M430" s="50" t="s">
        <v>1184</v>
      </c>
      <c r="N430" s="50" t="s">
        <v>129</v>
      </c>
      <c r="O430" s="50" t="s">
        <v>1189</v>
      </c>
      <c r="P430" s="50" t="s">
        <v>1190</v>
      </c>
    </row>
    <row r="431" ht="13.5" customHeight="1">
      <c r="B431" s="54"/>
      <c r="C431" s="38"/>
      <c r="D431" s="55"/>
      <c r="E431" s="56"/>
      <c r="F431" s="55"/>
      <c r="G431" s="55"/>
      <c r="H431" s="56"/>
      <c r="J431" s="57" t="str">
        <f t="shared" si="1"/>
        <v>FalcónBuchivacoaCapatarida</v>
      </c>
      <c r="K431" s="50" t="s">
        <v>181</v>
      </c>
      <c r="L431" s="50" t="s">
        <v>182</v>
      </c>
      <c r="M431" s="50" t="s">
        <v>1191</v>
      </c>
      <c r="N431" s="50" t="s">
        <v>1192</v>
      </c>
      <c r="O431" s="50" t="s">
        <v>1193</v>
      </c>
      <c r="P431" s="50" t="s">
        <v>1194</v>
      </c>
    </row>
    <row r="432" ht="13.5" customHeight="1">
      <c r="B432" s="54"/>
      <c r="C432" s="38"/>
      <c r="D432" s="55"/>
      <c r="E432" s="56"/>
      <c r="F432" s="55"/>
      <c r="G432" s="55"/>
      <c r="H432" s="56"/>
      <c r="J432" s="57" t="str">
        <f t="shared" si="1"/>
        <v>FalcónBuchivacoaBariro</v>
      </c>
      <c r="K432" s="50" t="s">
        <v>181</v>
      </c>
      <c r="L432" s="50" t="s">
        <v>182</v>
      </c>
      <c r="M432" s="50" t="s">
        <v>1191</v>
      </c>
      <c r="N432" s="50" t="s">
        <v>1192</v>
      </c>
      <c r="O432" s="50" t="s">
        <v>1195</v>
      </c>
      <c r="P432" s="50" t="s">
        <v>1196</v>
      </c>
    </row>
    <row r="433" ht="13.5" customHeight="1">
      <c r="B433" s="54"/>
      <c r="C433" s="38"/>
      <c r="D433" s="55"/>
      <c r="E433" s="56"/>
      <c r="F433" s="55"/>
      <c r="G433" s="55"/>
      <c r="H433" s="56"/>
      <c r="J433" s="57" t="str">
        <f t="shared" si="1"/>
        <v>FalcónBuchivacoaBorojo</v>
      </c>
      <c r="K433" s="50" t="s">
        <v>181</v>
      </c>
      <c r="L433" s="50" t="s">
        <v>182</v>
      </c>
      <c r="M433" s="50" t="s">
        <v>1191</v>
      </c>
      <c r="N433" s="50" t="s">
        <v>1192</v>
      </c>
      <c r="O433" s="50" t="s">
        <v>1197</v>
      </c>
      <c r="P433" s="50" t="s">
        <v>1198</v>
      </c>
    </row>
    <row r="434" ht="13.5" customHeight="1">
      <c r="B434" s="54"/>
      <c r="C434" s="38"/>
      <c r="D434" s="55"/>
      <c r="E434" s="56"/>
      <c r="F434" s="55"/>
      <c r="G434" s="55"/>
      <c r="H434" s="56"/>
      <c r="J434" s="57" t="str">
        <f t="shared" si="1"/>
        <v>FalcónBuchivacoaGuajiro</v>
      </c>
      <c r="K434" s="50" t="s">
        <v>181</v>
      </c>
      <c r="L434" s="50" t="s">
        <v>182</v>
      </c>
      <c r="M434" s="50" t="s">
        <v>1191</v>
      </c>
      <c r="N434" s="50" t="s">
        <v>1192</v>
      </c>
      <c r="O434" s="50" t="s">
        <v>1199</v>
      </c>
      <c r="P434" s="50" t="s">
        <v>1200</v>
      </c>
    </row>
    <row r="435" ht="13.5" customHeight="1">
      <c r="B435" s="54"/>
      <c r="C435" s="38"/>
      <c r="D435" s="55"/>
      <c r="E435" s="56"/>
      <c r="F435" s="55"/>
      <c r="G435" s="55"/>
      <c r="H435" s="56"/>
      <c r="J435" s="57" t="str">
        <f t="shared" si="1"/>
        <v>FalcónBuchivacoaSeque</v>
      </c>
      <c r="K435" s="50" t="s">
        <v>181</v>
      </c>
      <c r="L435" s="50" t="s">
        <v>182</v>
      </c>
      <c r="M435" s="50" t="s">
        <v>1191</v>
      </c>
      <c r="N435" s="50" t="s">
        <v>1192</v>
      </c>
      <c r="O435" s="50" t="s">
        <v>1201</v>
      </c>
      <c r="P435" s="50" t="s">
        <v>1202</v>
      </c>
    </row>
    <row r="436" ht="13.5" customHeight="1">
      <c r="B436" s="54"/>
      <c r="C436" s="38"/>
      <c r="D436" s="55"/>
      <c r="E436" s="56"/>
      <c r="F436" s="55"/>
      <c r="G436" s="55"/>
      <c r="H436" s="56"/>
      <c r="J436" s="57" t="str">
        <f t="shared" si="1"/>
        <v>FalcónBuchivacoaZazarida</v>
      </c>
      <c r="K436" s="50" t="s">
        <v>181</v>
      </c>
      <c r="L436" s="50" t="s">
        <v>182</v>
      </c>
      <c r="M436" s="50" t="s">
        <v>1191</v>
      </c>
      <c r="N436" s="50" t="s">
        <v>1192</v>
      </c>
      <c r="O436" s="50" t="s">
        <v>1203</v>
      </c>
      <c r="P436" s="50" t="s">
        <v>1204</v>
      </c>
    </row>
    <row r="437" ht="13.5" customHeight="1">
      <c r="B437" s="54"/>
      <c r="C437" s="38"/>
      <c r="D437" s="55"/>
      <c r="E437" s="56"/>
      <c r="F437" s="55"/>
      <c r="G437" s="55"/>
      <c r="H437" s="56"/>
      <c r="J437" s="57" t="str">
        <f t="shared" si="1"/>
        <v>FalcónCacique ManaureCacique Manaure</v>
      </c>
      <c r="K437" s="50" t="s">
        <v>181</v>
      </c>
      <c r="L437" s="50" t="s">
        <v>182</v>
      </c>
      <c r="M437" s="50" t="s">
        <v>1205</v>
      </c>
      <c r="N437" s="50" t="s">
        <v>1206</v>
      </c>
      <c r="O437" s="50" t="s">
        <v>1207</v>
      </c>
      <c r="P437" s="50" t="s">
        <v>1206</v>
      </c>
    </row>
    <row r="438" ht="13.5" customHeight="1">
      <c r="B438" s="54"/>
      <c r="C438" s="38"/>
      <c r="D438" s="55"/>
      <c r="E438" s="56"/>
      <c r="F438" s="55"/>
      <c r="G438" s="55"/>
      <c r="H438" s="56"/>
      <c r="J438" s="57" t="str">
        <f t="shared" si="1"/>
        <v>FalcónCarirubanaCarirubana</v>
      </c>
      <c r="K438" s="50" t="s">
        <v>181</v>
      </c>
      <c r="L438" s="50" t="s">
        <v>182</v>
      </c>
      <c r="M438" s="50" t="s">
        <v>1208</v>
      </c>
      <c r="N438" s="50" t="s">
        <v>1209</v>
      </c>
      <c r="O438" s="50" t="s">
        <v>1210</v>
      </c>
      <c r="P438" s="50" t="s">
        <v>1209</v>
      </c>
    </row>
    <row r="439" ht="13.5" customHeight="1">
      <c r="B439" s="54"/>
      <c r="C439" s="38"/>
      <c r="D439" s="55"/>
      <c r="E439" s="56"/>
      <c r="F439" s="55"/>
      <c r="G439" s="55"/>
      <c r="H439" s="56"/>
      <c r="J439" s="57" t="str">
        <f t="shared" si="1"/>
        <v>FalcónCarirubanaNorte</v>
      </c>
      <c r="K439" s="50" t="s">
        <v>181</v>
      </c>
      <c r="L439" s="50" t="s">
        <v>182</v>
      </c>
      <c r="M439" s="50" t="s">
        <v>1208</v>
      </c>
      <c r="N439" s="50" t="s">
        <v>1209</v>
      </c>
      <c r="O439" s="50" t="s">
        <v>1211</v>
      </c>
      <c r="P439" s="50" t="s">
        <v>1212</v>
      </c>
    </row>
    <row r="440" ht="13.5" customHeight="1">
      <c r="B440" s="54"/>
      <c r="C440" s="38"/>
      <c r="D440" s="55"/>
      <c r="E440" s="56"/>
      <c r="F440" s="55"/>
      <c r="G440" s="55"/>
      <c r="H440" s="56"/>
      <c r="J440" s="57" t="str">
        <f t="shared" si="1"/>
        <v>FalcónCarirubanaPunta Cardón</v>
      </c>
      <c r="K440" s="50" t="s">
        <v>181</v>
      </c>
      <c r="L440" s="50" t="s">
        <v>182</v>
      </c>
      <c r="M440" s="50" t="s">
        <v>1208</v>
      </c>
      <c r="N440" s="50" t="s">
        <v>1209</v>
      </c>
      <c r="O440" s="50" t="s">
        <v>1213</v>
      </c>
      <c r="P440" s="50" t="s">
        <v>1214</v>
      </c>
    </row>
    <row r="441" ht="13.5" customHeight="1">
      <c r="B441" s="54"/>
      <c r="C441" s="38"/>
      <c r="D441" s="55"/>
      <c r="E441" s="56"/>
      <c r="F441" s="55"/>
      <c r="G441" s="55"/>
      <c r="H441" s="56"/>
      <c r="J441" s="57" t="str">
        <f t="shared" si="1"/>
        <v>FalcónCarirubanaSanta Ana</v>
      </c>
      <c r="K441" s="50" t="s">
        <v>181</v>
      </c>
      <c r="L441" s="50" t="s">
        <v>182</v>
      </c>
      <c r="M441" s="50" t="s">
        <v>1208</v>
      </c>
      <c r="N441" s="50" t="s">
        <v>1209</v>
      </c>
      <c r="O441" s="50" t="s">
        <v>1215</v>
      </c>
      <c r="P441" s="50" t="s">
        <v>318</v>
      </c>
    </row>
    <row r="442" ht="13.5" customHeight="1">
      <c r="B442" s="54"/>
      <c r="C442" s="38"/>
      <c r="D442" s="55"/>
      <c r="E442" s="56"/>
      <c r="F442" s="55"/>
      <c r="G442" s="55"/>
      <c r="H442" s="56"/>
      <c r="J442" s="57" t="str">
        <f t="shared" si="1"/>
        <v>FalcónColinaLa Vela De Coro</v>
      </c>
      <c r="K442" s="50" t="s">
        <v>181</v>
      </c>
      <c r="L442" s="50" t="s">
        <v>182</v>
      </c>
      <c r="M442" s="50" t="s">
        <v>1216</v>
      </c>
      <c r="N442" s="50" t="s">
        <v>1217</v>
      </c>
      <c r="O442" s="50" t="s">
        <v>1218</v>
      </c>
      <c r="P442" s="50" t="s">
        <v>1219</v>
      </c>
    </row>
    <row r="443" ht="13.5" customHeight="1">
      <c r="B443" s="54"/>
      <c r="C443" s="38"/>
      <c r="D443" s="55"/>
      <c r="E443" s="56"/>
      <c r="F443" s="55"/>
      <c r="G443" s="55"/>
      <c r="H443" s="56"/>
      <c r="J443" s="57" t="str">
        <f t="shared" si="1"/>
        <v>FalcónColinaAcurigua</v>
      </c>
      <c r="K443" s="50" t="s">
        <v>181</v>
      </c>
      <c r="L443" s="50" t="s">
        <v>182</v>
      </c>
      <c r="M443" s="50" t="s">
        <v>1216</v>
      </c>
      <c r="N443" s="50" t="s">
        <v>1217</v>
      </c>
      <c r="O443" s="50" t="s">
        <v>1220</v>
      </c>
      <c r="P443" s="50" t="s">
        <v>1221</v>
      </c>
    </row>
    <row r="444" ht="13.5" customHeight="1">
      <c r="B444" s="54"/>
      <c r="C444" s="38"/>
      <c r="D444" s="55"/>
      <c r="E444" s="56"/>
      <c r="F444" s="55"/>
      <c r="G444" s="55"/>
      <c r="H444" s="56"/>
      <c r="J444" s="57" t="str">
        <f t="shared" si="1"/>
        <v>FalcónColinaGuaibacoa</v>
      </c>
      <c r="K444" s="50" t="s">
        <v>181</v>
      </c>
      <c r="L444" s="50" t="s">
        <v>182</v>
      </c>
      <c r="M444" s="50" t="s">
        <v>1216</v>
      </c>
      <c r="N444" s="50" t="s">
        <v>1217</v>
      </c>
      <c r="O444" s="50" t="s">
        <v>1222</v>
      </c>
      <c r="P444" s="50" t="s">
        <v>1223</v>
      </c>
    </row>
    <row r="445" ht="13.5" customHeight="1">
      <c r="B445" s="54"/>
      <c r="C445" s="38"/>
      <c r="D445" s="55"/>
      <c r="E445" s="56"/>
      <c r="F445" s="55"/>
      <c r="G445" s="55"/>
      <c r="H445" s="56"/>
      <c r="J445" s="57" t="str">
        <f t="shared" si="1"/>
        <v>FalcónColinaLas Calderas</v>
      </c>
      <c r="K445" s="50" t="s">
        <v>181</v>
      </c>
      <c r="L445" s="50" t="s">
        <v>182</v>
      </c>
      <c r="M445" s="50" t="s">
        <v>1216</v>
      </c>
      <c r="N445" s="50" t="s">
        <v>1217</v>
      </c>
      <c r="O445" s="50" t="s">
        <v>1224</v>
      </c>
      <c r="P445" s="50" t="s">
        <v>1225</v>
      </c>
    </row>
    <row r="446" ht="13.5" customHeight="1">
      <c r="B446" s="54"/>
      <c r="C446" s="38"/>
      <c r="D446" s="55"/>
      <c r="E446" s="56"/>
      <c r="F446" s="55"/>
      <c r="G446" s="55"/>
      <c r="H446" s="56"/>
      <c r="J446" s="57" t="str">
        <f t="shared" si="1"/>
        <v>FalcónColinaMacoruca</v>
      </c>
      <c r="K446" s="50" t="s">
        <v>181</v>
      </c>
      <c r="L446" s="50" t="s">
        <v>182</v>
      </c>
      <c r="M446" s="50" t="s">
        <v>1216</v>
      </c>
      <c r="N446" s="50" t="s">
        <v>1217</v>
      </c>
      <c r="O446" s="50" t="s">
        <v>1226</v>
      </c>
      <c r="P446" s="50" t="s">
        <v>1227</v>
      </c>
    </row>
    <row r="447" ht="13.5" customHeight="1">
      <c r="B447" s="54"/>
      <c r="C447" s="38"/>
      <c r="D447" s="55"/>
      <c r="E447" s="56"/>
      <c r="F447" s="55"/>
      <c r="G447" s="55"/>
      <c r="H447" s="56"/>
      <c r="J447" s="57" t="str">
        <f t="shared" si="1"/>
        <v>FalcónDabajuroDabajuro</v>
      </c>
      <c r="K447" s="50" t="s">
        <v>181</v>
      </c>
      <c r="L447" s="50" t="s">
        <v>182</v>
      </c>
      <c r="M447" s="50" t="s">
        <v>1228</v>
      </c>
      <c r="N447" s="50" t="s">
        <v>1229</v>
      </c>
      <c r="O447" s="50" t="s">
        <v>1230</v>
      </c>
      <c r="P447" s="50" t="s">
        <v>1229</v>
      </c>
    </row>
    <row r="448" ht="13.5" customHeight="1">
      <c r="B448" s="54"/>
      <c r="C448" s="38"/>
      <c r="D448" s="55"/>
      <c r="E448" s="56"/>
      <c r="F448" s="55"/>
      <c r="G448" s="55"/>
      <c r="H448" s="56"/>
      <c r="J448" s="57" t="str">
        <f t="shared" si="1"/>
        <v>FalcónDemocraciaPedregal</v>
      </c>
      <c r="K448" s="50" t="s">
        <v>181</v>
      </c>
      <c r="L448" s="50" t="s">
        <v>182</v>
      </c>
      <c r="M448" s="50" t="s">
        <v>1231</v>
      </c>
      <c r="N448" s="50" t="s">
        <v>1232</v>
      </c>
      <c r="O448" s="50" t="s">
        <v>1233</v>
      </c>
      <c r="P448" s="50" t="s">
        <v>1234</v>
      </c>
    </row>
    <row r="449" ht="13.5" customHeight="1">
      <c r="B449" s="54"/>
      <c r="C449" s="38"/>
      <c r="D449" s="55"/>
      <c r="E449" s="56"/>
      <c r="F449" s="55"/>
      <c r="G449" s="55"/>
      <c r="H449" s="56"/>
      <c r="J449" s="57" t="str">
        <f t="shared" si="1"/>
        <v>FalcónDemocraciaAgua Clara</v>
      </c>
      <c r="K449" s="50" t="s">
        <v>181</v>
      </c>
      <c r="L449" s="50" t="s">
        <v>182</v>
      </c>
      <c r="M449" s="50" t="s">
        <v>1231</v>
      </c>
      <c r="N449" s="50" t="s">
        <v>1232</v>
      </c>
      <c r="O449" s="50" t="s">
        <v>1235</v>
      </c>
      <c r="P449" s="50" t="s">
        <v>1236</v>
      </c>
    </row>
    <row r="450" ht="13.5" customHeight="1">
      <c r="B450" s="54"/>
      <c r="C450" s="38"/>
      <c r="D450" s="55"/>
      <c r="E450" s="56"/>
      <c r="F450" s="55"/>
      <c r="G450" s="55"/>
      <c r="H450" s="56"/>
      <c r="J450" s="57" t="str">
        <f t="shared" si="1"/>
        <v>FalcónDemocraciaAvaria</v>
      </c>
      <c r="K450" s="50" t="s">
        <v>181</v>
      </c>
      <c r="L450" s="50" t="s">
        <v>182</v>
      </c>
      <c r="M450" s="50" t="s">
        <v>1231</v>
      </c>
      <c r="N450" s="50" t="s">
        <v>1232</v>
      </c>
      <c r="O450" s="50" t="s">
        <v>1237</v>
      </c>
      <c r="P450" s="50" t="s">
        <v>1238</v>
      </c>
    </row>
    <row r="451" ht="13.5" customHeight="1">
      <c r="B451" s="54"/>
      <c r="C451" s="38"/>
      <c r="D451" s="55"/>
      <c r="E451" s="56"/>
      <c r="F451" s="55"/>
      <c r="G451" s="55"/>
      <c r="H451" s="56"/>
      <c r="J451" s="57" t="str">
        <f t="shared" si="1"/>
        <v>FalcónDemocraciaPiedra Grande</v>
      </c>
      <c r="K451" s="50" t="s">
        <v>181</v>
      </c>
      <c r="L451" s="50" t="s">
        <v>182</v>
      </c>
      <c r="M451" s="50" t="s">
        <v>1231</v>
      </c>
      <c r="N451" s="50" t="s">
        <v>1232</v>
      </c>
      <c r="O451" s="50" t="s">
        <v>1239</v>
      </c>
      <c r="P451" s="50" t="s">
        <v>1240</v>
      </c>
    </row>
    <row r="452" ht="13.5" customHeight="1">
      <c r="B452" s="54"/>
      <c r="C452" s="38"/>
      <c r="D452" s="55"/>
      <c r="E452" s="56"/>
      <c r="F452" s="55"/>
      <c r="G452" s="55"/>
      <c r="H452" s="56"/>
      <c r="J452" s="57" t="str">
        <f t="shared" si="1"/>
        <v>FalcónDemocraciaPurureche</v>
      </c>
      <c r="K452" s="50" t="s">
        <v>181</v>
      </c>
      <c r="L452" s="50" t="s">
        <v>182</v>
      </c>
      <c r="M452" s="50" t="s">
        <v>1231</v>
      </c>
      <c r="N452" s="50" t="s">
        <v>1232</v>
      </c>
      <c r="O452" s="50" t="s">
        <v>1241</v>
      </c>
      <c r="P452" s="50" t="s">
        <v>1242</v>
      </c>
    </row>
    <row r="453" ht="13.5" customHeight="1">
      <c r="B453" s="54"/>
      <c r="C453" s="38"/>
      <c r="D453" s="55"/>
      <c r="E453" s="56"/>
      <c r="F453" s="55"/>
      <c r="G453" s="55"/>
      <c r="H453" s="56"/>
      <c r="J453" s="57" t="str">
        <f t="shared" si="1"/>
        <v>FalcónFalcónPueblo Nuevo</v>
      </c>
      <c r="K453" s="50" t="s">
        <v>181</v>
      </c>
      <c r="L453" s="50" t="s">
        <v>182</v>
      </c>
      <c r="M453" s="50" t="s">
        <v>1243</v>
      </c>
      <c r="N453" s="50" t="s">
        <v>182</v>
      </c>
      <c r="O453" s="50" t="s">
        <v>1244</v>
      </c>
      <c r="P453" s="50" t="s">
        <v>647</v>
      </c>
    </row>
    <row r="454" ht="13.5" customHeight="1">
      <c r="B454" s="54"/>
      <c r="C454" s="38"/>
      <c r="D454" s="55"/>
      <c r="E454" s="56"/>
      <c r="F454" s="55"/>
      <c r="G454" s="55"/>
      <c r="H454" s="56"/>
      <c r="J454" s="57" t="str">
        <f t="shared" si="1"/>
        <v>FalcónFalcónAdicora</v>
      </c>
      <c r="K454" s="50" t="s">
        <v>181</v>
      </c>
      <c r="L454" s="50" t="s">
        <v>182</v>
      </c>
      <c r="M454" s="50" t="s">
        <v>1243</v>
      </c>
      <c r="N454" s="50" t="s">
        <v>182</v>
      </c>
      <c r="O454" s="50" t="s">
        <v>1245</v>
      </c>
      <c r="P454" s="50" t="s">
        <v>1246</v>
      </c>
    </row>
    <row r="455" ht="13.5" customHeight="1">
      <c r="B455" s="54"/>
      <c r="C455" s="38"/>
      <c r="D455" s="55"/>
      <c r="E455" s="56"/>
      <c r="F455" s="55"/>
      <c r="G455" s="55"/>
      <c r="H455" s="56"/>
      <c r="J455" s="57" t="str">
        <f t="shared" si="1"/>
        <v>FalcónFalcónBaraived</v>
      </c>
      <c r="K455" s="50" t="s">
        <v>181</v>
      </c>
      <c r="L455" s="50" t="s">
        <v>182</v>
      </c>
      <c r="M455" s="50" t="s">
        <v>1243</v>
      </c>
      <c r="N455" s="50" t="s">
        <v>182</v>
      </c>
      <c r="O455" s="50" t="s">
        <v>1247</v>
      </c>
      <c r="P455" s="50" t="s">
        <v>1248</v>
      </c>
    </row>
    <row r="456" ht="13.5" customHeight="1">
      <c r="B456" s="54"/>
      <c r="C456" s="38"/>
      <c r="D456" s="55"/>
      <c r="E456" s="56"/>
      <c r="F456" s="55"/>
      <c r="G456" s="55"/>
      <c r="H456" s="56"/>
      <c r="J456" s="57" t="str">
        <f t="shared" si="1"/>
        <v>FalcónFalcónBuena Vista</v>
      </c>
      <c r="K456" s="50" t="s">
        <v>181</v>
      </c>
      <c r="L456" s="50" t="s">
        <v>182</v>
      </c>
      <c r="M456" s="50" t="s">
        <v>1243</v>
      </c>
      <c r="N456" s="50" t="s">
        <v>182</v>
      </c>
      <c r="O456" s="50" t="s">
        <v>1249</v>
      </c>
      <c r="P456" s="50" t="s">
        <v>1250</v>
      </c>
    </row>
    <row r="457" ht="13.5" customHeight="1">
      <c r="B457" s="54"/>
      <c r="C457" s="38"/>
      <c r="D457" s="55"/>
      <c r="E457" s="56"/>
      <c r="F457" s="55"/>
      <c r="G457" s="55"/>
      <c r="H457" s="56"/>
      <c r="J457" s="57" t="str">
        <f t="shared" si="1"/>
        <v>FalcónFalcónJadacaquiva</v>
      </c>
      <c r="K457" s="50" t="s">
        <v>181</v>
      </c>
      <c r="L457" s="50" t="s">
        <v>182</v>
      </c>
      <c r="M457" s="50" t="s">
        <v>1243</v>
      </c>
      <c r="N457" s="50" t="s">
        <v>182</v>
      </c>
      <c r="O457" s="50" t="s">
        <v>1251</v>
      </c>
      <c r="P457" s="50" t="s">
        <v>1252</v>
      </c>
    </row>
    <row r="458" ht="13.5" customHeight="1">
      <c r="B458" s="54"/>
      <c r="C458" s="38"/>
      <c r="D458" s="55"/>
      <c r="E458" s="56"/>
      <c r="F458" s="55"/>
      <c r="G458" s="55"/>
      <c r="H458" s="56"/>
      <c r="J458" s="57" t="str">
        <f t="shared" si="1"/>
        <v>FalcónFalcónMoruy</v>
      </c>
      <c r="K458" s="50" t="s">
        <v>181</v>
      </c>
      <c r="L458" s="50" t="s">
        <v>182</v>
      </c>
      <c r="M458" s="50" t="s">
        <v>1243</v>
      </c>
      <c r="N458" s="50" t="s">
        <v>182</v>
      </c>
      <c r="O458" s="50" t="s">
        <v>1253</v>
      </c>
      <c r="P458" s="50" t="s">
        <v>1254</v>
      </c>
    </row>
    <row r="459" ht="13.5" customHeight="1">
      <c r="B459" s="54"/>
      <c r="C459" s="38"/>
      <c r="D459" s="55"/>
      <c r="E459" s="56"/>
      <c r="F459" s="55"/>
      <c r="G459" s="55"/>
      <c r="H459" s="56"/>
      <c r="J459" s="57" t="str">
        <f t="shared" si="1"/>
        <v>FalcónFalcónAdaure</v>
      </c>
      <c r="K459" s="50" t="s">
        <v>181</v>
      </c>
      <c r="L459" s="50" t="s">
        <v>182</v>
      </c>
      <c r="M459" s="50" t="s">
        <v>1243</v>
      </c>
      <c r="N459" s="50" t="s">
        <v>182</v>
      </c>
      <c r="O459" s="50" t="s">
        <v>1255</v>
      </c>
      <c r="P459" s="50" t="s">
        <v>1256</v>
      </c>
    </row>
    <row r="460" ht="13.5" customHeight="1">
      <c r="B460" s="54"/>
      <c r="C460" s="38"/>
      <c r="D460" s="55"/>
      <c r="E460" s="56"/>
      <c r="F460" s="55"/>
      <c r="G460" s="55"/>
      <c r="H460" s="56"/>
      <c r="J460" s="57" t="str">
        <f t="shared" si="1"/>
        <v>FalcónFalcónEl Hato</v>
      </c>
      <c r="K460" s="50" t="s">
        <v>181</v>
      </c>
      <c r="L460" s="50" t="s">
        <v>182</v>
      </c>
      <c r="M460" s="50" t="s">
        <v>1243</v>
      </c>
      <c r="N460" s="50" t="s">
        <v>182</v>
      </c>
      <c r="O460" s="50" t="s">
        <v>1257</v>
      </c>
      <c r="P460" s="50" t="s">
        <v>1258</v>
      </c>
    </row>
    <row r="461" ht="13.5" customHeight="1">
      <c r="B461" s="54"/>
      <c r="C461" s="38"/>
      <c r="D461" s="55"/>
      <c r="E461" s="56"/>
      <c r="F461" s="55"/>
      <c r="G461" s="55"/>
      <c r="H461" s="56"/>
      <c r="J461" s="57" t="str">
        <f t="shared" si="1"/>
        <v>FalcónFalcónEl Vinculo</v>
      </c>
      <c r="K461" s="50" t="s">
        <v>181</v>
      </c>
      <c r="L461" s="50" t="s">
        <v>182</v>
      </c>
      <c r="M461" s="50" t="s">
        <v>1243</v>
      </c>
      <c r="N461" s="50" t="s">
        <v>182</v>
      </c>
      <c r="O461" s="50" t="s">
        <v>1259</v>
      </c>
      <c r="P461" s="50" t="s">
        <v>1260</v>
      </c>
    </row>
    <row r="462" ht="13.5" customHeight="1">
      <c r="B462" s="54"/>
      <c r="C462" s="38"/>
      <c r="D462" s="55"/>
      <c r="E462" s="56"/>
      <c r="F462" s="55"/>
      <c r="G462" s="55"/>
      <c r="H462" s="56"/>
      <c r="J462" s="57" t="str">
        <f t="shared" si="1"/>
        <v>FalcónFederaciónChuruguara</v>
      </c>
      <c r="K462" s="50" t="s">
        <v>181</v>
      </c>
      <c r="L462" s="50" t="s">
        <v>182</v>
      </c>
      <c r="M462" s="50" t="s">
        <v>1261</v>
      </c>
      <c r="N462" s="50" t="s">
        <v>1262</v>
      </c>
      <c r="O462" s="50" t="s">
        <v>1263</v>
      </c>
      <c r="P462" s="50" t="s">
        <v>1264</v>
      </c>
    </row>
    <row r="463" ht="13.5" customHeight="1">
      <c r="B463" s="54"/>
      <c r="C463" s="38"/>
      <c r="D463" s="55"/>
      <c r="E463" s="56"/>
      <c r="F463" s="55"/>
      <c r="G463" s="55"/>
      <c r="H463" s="56"/>
      <c r="J463" s="57" t="str">
        <f t="shared" si="1"/>
        <v>FalcónFederaciónAgua Larga</v>
      </c>
      <c r="K463" s="50" t="s">
        <v>181</v>
      </c>
      <c r="L463" s="50" t="s">
        <v>182</v>
      </c>
      <c r="M463" s="50" t="s">
        <v>1261</v>
      </c>
      <c r="N463" s="50" t="s">
        <v>1262</v>
      </c>
      <c r="O463" s="50" t="s">
        <v>1265</v>
      </c>
      <c r="P463" s="50" t="s">
        <v>1266</v>
      </c>
    </row>
    <row r="464" ht="13.5" customHeight="1">
      <c r="B464" s="54"/>
      <c r="C464" s="38"/>
      <c r="D464" s="55"/>
      <c r="E464" s="56"/>
      <c r="F464" s="55"/>
      <c r="G464" s="55"/>
      <c r="H464" s="56"/>
      <c r="J464" s="57" t="str">
        <f t="shared" si="1"/>
        <v>FalcónFederaciónEl Paují</v>
      </c>
      <c r="K464" s="50" t="s">
        <v>181</v>
      </c>
      <c r="L464" s="50" t="s">
        <v>182</v>
      </c>
      <c r="M464" s="50" t="s">
        <v>1261</v>
      </c>
      <c r="N464" s="50" t="s">
        <v>1262</v>
      </c>
      <c r="O464" s="50" t="s">
        <v>1267</v>
      </c>
      <c r="P464" s="50" t="s">
        <v>1268</v>
      </c>
    </row>
    <row r="465" ht="13.5" customHeight="1">
      <c r="B465" s="54"/>
      <c r="C465" s="38"/>
      <c r="D465" s="55"/>
      <c r="E465" s="56"/>
      <c r="F465" s="55"/>
      <c r="G465" s="55"/>
      <c r="H465" s="56"/>
      <c r="J465" s="57" t="str">
        <f t="shared" si="1"/>
        <v>FalcónFederaciónIndependencia</v>
      </c>
      <c r="K465" s="50" t="s">
        <v>181</v>
      </c>
      <c r="L465" s="50" t="s">
        <v>182</v>
      </c>
      <c r="M465" s="50" t="s">
        <v>1261</v>
      </c>
      <c r="N465" s="50" t="s">
        <v>1262</v>
      </c>
      <c r="O465" s="50" t="s">
        <v>1269</v>
      </c>
      <c r="P465" s="50" t="s">
        <v>234</v>
      </c>
    </row>
    <row r="466" ht="13.5" customHeight="1">
      <c r="B466" s="54"/>
      <c r="C466" s="38"/>
      <c r="D466" s="55"/>
      <c r="E466" s="56"/>
      <c r="F466" s="55"/>
      <c r="G466" s="55"/>
      <c r="H466" s="56"/>
      <c r="J466" s="57" t="str">
        <f t="shared" si="1"/>
        <v>FalcónFederaciónMaparari</v>
      </c>
      <c r="K466" s="50" t="s">
        <v>181</v>
      </c>
      <c r="L466" s="50" t="s">
        <v>182</v>
      </c>
      <c r="M466" s="50" t="s">
        <v>1261</v>
      </c>
      <c r="N466" s="50" t="s">
        <v>1262</v>
      </c>
      <c r="O466" s="50" t="s">
        <v>1270</v>
      </c>
      <c r="P466" s="50" t="s">
        <v>1271</v>
      </c>
    </row>
    <row r="467" ht="13.5" customHeight="1">
      <c r="B467" s="54"/>
      <c r="C467" s="38"/>
      <c r="D467" s="55"/>
      <c r="E467" s="56"/>
      <c r="F467" s="55"/>
      <c r="G467" s="55"/>
      <c r="H467" s="56"/>
      <c r="J467" s="57" t="str">
        <f t="shared" si="1"/>
        <v>FalcónJacuraJacura</v>
      </c>
      <c r="K467" s="50" t="s">
        <v>181</v>
      </c>
      <c r="L467" s="50" t="s">
        <v>182</v>
      </c>
      <c r="M467" s="50" t="s">
        <v>1272</v>
      </c>
      <c r="N467" s="50" t="s">
        <v>1273</v>
      </c>
      <c r="O467" s="50" t="s">
        <v>1274</v>
      </c>
      <c r="P467" s="50" t="s">
        <v>1273</v>
      </c>
    </row>
    <row r="468" ht="13.5" customHeight="1">
      <c r="B468" s="54"/>
      <c r="C468" s="38"/>
      <c r="D468" s="55"/>
      <c r="E468" s="56"/>
      <c r="F468" s="55"/>
      <c r="G468" s="55"/>
      <c r="H468" s="56"/>
      <c r="J468" s="57" t="str">
        <f t="shared" si="1"/>
        <v>FalcónJacuraAgua Linda</v>
      </c>
      <c r="K468" s="50" t="s">
        <v>181</v>
      </c>
      <c r="L468" s="50" t="s">
        <v>182</v>
      </c>
      <c r="M468" s="50" t="s">
        <v>1272</v>
      </c>
      <c r="N468" s="50" t="s">
        <v>1273</v>
      </c>
      <c r="O468" s="50" t="s">
        <v>1275</v>
      </c>
      <c r="P468" s="50" t="s">
        <v>1276</v>
      </c>
    </row>
    <row r="469" ht="13.5" customHeight="1">
      <c r="B469" s="54"/>
      <c r="C469" s="38"/>
      <c r="D469" s="55"/>
      <c r="E469" s="56"/>
      <c r="F469" s="55"/>
      <c r="G469" s="55"/>
      <c r="H469" s="56"/>
      <c r="J469" s="57" t="str">
        <f t="shared" si="1"/>
        <v>FalcónJacuraAraurima</v>
      </c>
      <c r="K469" s="50" t="s">
        <v>181</v>
      </c>
      <c r="L469" s="50" t="s">
        <v>182</v>
      </c>
      <c r="M469" s="50" t="s">
        <v>1272</v>
      </c>
      <c r="N469" s="50" t="s">
        <v>1273</v>
      </c>
      <c r="O469" s="50" t="s">
        <v>1277</v>
      </c>
      <c r="P469" s="50" t="s">
        <v>1278</v>
      </c>
    </row>
    <row r="470" ht="13.5" customHeight="1">
      <c r="B470" s="54"/>
      <c r="C470" s="38"/>
      <c r="D470" s="55"/>
      <c r="E470" s="56"/>
      <c r="F470" s="55"/>
      <c r="G470" s="55"/>
      <c r="H470" s="56"/>
      <c r="J470" s="57" t="str">
        <f t="shared" si="1"/>
        <v>FalcónLos TaquesLos Taques</v>
      </c>
      <c r="K470" s="50" t="s">
        <v>181</v>
      </c>
      <c r="L470" s="50" t="s">
        <v>182</v>
      </c>
      <c r="M470" s="50" t="s">
        <v>1279</v>
      </c>
      <c r="N470" s="50" t="s">
        <v>1280</v>
      </c>
      <c r="O470" s="50" t="s">
        <v>1281</v>
      </c>
      <c r="P470" s="50" t="s">
        <v>1280</v>
      </c>
    </row>
    <row r="471" ht="13.5" customHeight="1">
      <c r="B471" s="54"/>
      <c r="C471" s="38"/>
      <c r="D471" s="55"/>
      <c r="E471" s="56"/>
      <c r="F471" s="55"/>
      <c r="G471" s="55"/>
      <c r="H471" s="56"/>
      <c r="J471" s="57" t="str">
        <f t="shared" si="1"/>
        <v>FalcónLos TaquesJudibana</v>
      </c>
      <c r="K471" s="50" t="s">
        <v>181</v>
      </c>
      <c r="L471" s="50" t="s">
        <v>182</v>
      </c>
      <c r="M471" s="50" t="s">
        <v>1279</v>
      </c>
      <c r="N471" s="50" t="s">
        <v>1280</v>
      </c>
      <c r="O471" s="50" t="s">
        <v>1282</v>
      </c>
      <c r="P471" s="50" t="s">
        <v>1283</v>
      </c>
    </row>
    <row r="472" ht="13.5" customHeight="1">
      <c r="B472" s="54"/>
      <c r="C472" s="38"/>
      <c r="D472" s="55"/>
      <c r="E472" s="56"/>
      <c r="F472" s="55"/>
      <c r="G472" s="55"/>
      <c r="H472" s="56"/>
      <c r="J472" s="57" t="str">
        <f t="shared" si="1"/>
        <v>FalcónMauroaMene De Mauroa</v>
      </c>
      <c r="K472" s="50" t="s">
        <v>181</v>
      </c>
      <c r="L472" s="50" t="s">
        <v>182</v>
      </c>
      <c r="M472" s="50" t="s">
        <v>1284</v>
      </c>
      <c r="N472" s="50" t="s">
        <v>1285</v>
      </c>
      <c r="O472" s="50" t="s">
        <v>1286</v>
      </c>
      <c r="P472" s="50" t="s">
        <v>1287</v>
      </c>
    </row>
    <row r="473" ht="13.5" customHeight="1">
      <c r="B473" s="54"/>
      <c r="C473" s="38"/>
      <c r="D473" s="55"/>
      <c r="E473" s="56"/>
      <c r="F473" s="55"/>
      <c r="G473" s="55"/>
      <c r="H473" s="56"/>
      <c r="J473" s="57" t="str">
        <f t="shared" si="1"/>
        <v>FalcónMauroaCasigua</v>
      </c>
      <c r="K473" s="50" t="s">
        <v>181</v>
      </c>
      <c r="L473" s="50" t="s">
        <v>182</v>
      </c>
      <c r="M473" s="50" t="s">
        <v>1284</v>
      </c>
      <c r="N473" s="50" t="s">
        <v>1285</v>
      </c>
      <c r="O473" s="50" t="s">
        <v>1288</v>
      </c>
      <c r="P473" s="50" t="s">
        <v>1289</v>
      </c>
    </row>
    <row r="474" ht="13.5" customHeight="1">
      <c r="B474" s="54"/>
      <c r="C474" s="38"/>
      <c r="D474" s="55"/>
      <c r="E474" s="56"/>
      <c r="F474" s="55"/>
      <c r="G474" s="55"/>
      <c r="H474" s="56"/>
      <c r="J474" s="57" t="str">
        <f t="shared" si="1"/>
        <v>FalcónMauroaSan Félix</v>
      </c>
      <c r="K474" s="50" t="s">
        <v>181</v>
      </c>
      <c r="L474" s="50" t="s">
        <v>182</v>
      </c>
      <c r="M474" s="50" t="s">
        <v>1284</v>
      </c>
      <c r="N474" s="50" t="s">
        <v>1285</v>
      </c>
      <c r="O474" s="50" t="s">
        <v>1290</v>
      </c>
      <c r="P474" s="50" t="s">
        <v>1291</v>
      </c>
    </row>
    <row r="475" ht="13.5" customHeight="1">
      <c r="B475" s="54"/>
      <c r="C475" s="38"/>
      <c r="D475" s="55"/>
      <c r="E475" s="56"/>
      <c r="F475" s="55"/>
      <c r="G475" s="55"/>
      <c r="H475" s="56"/>
      <c r="J475" s="57" t="str">
        <f t="shared" si="1"/>
        <v>FalcónMirandaSan Antonio</v>
      </c>
      <c r="K475" s="50" t="s">
        <v>181</v>
      </c>
      <c r="L475" s="50" t="s">
        <v>182</v>
      </c>
      <c r="M475" s="50" t="s">
        <v>1292</v>
      </c>
      <c r="N475" s="50" t="s">
        <v>232</v>
      </c>
      <c r="O475" s="50" t="s">
        <v>1293</v>
      </c>
      <c r="P475" s="50" t="s">
        <v>827</v>
      </c>
    </row>
    <row r="476" ht="13.5" customHeight="1">
      <c r="B476" s="54"/>
      <c r="C476" s="38"/>
      <c r="D476" s="55"/>
      <c r="E476" s="56"/>
      <c r="F476" s="55"/>
      <c r="G476" s="55"/>
      <c r="H476" s="56"/>
      <c r="J476" s="57" t="str">
        <f t="shared" si="1"/>
        <v>FalcónMirandaSan Gabriel</v>
      </c>
      <c r="K476" s="50" t="s">
        <v>181</v>
      </c>
      <c r="L476" s="50" t="s">
        <v>182</v>
      </c>
      <c r="M476" s="50" t="s">
        <v>1292</v>
      </c>
      <c r="N476" s="50" t="s">
        <v>232</v>
      </c>
      <c r="O476" s="50" t="s">
        <v>1294</v>
      </c>
      <c r="P476" s="50" t="s">
        <v>1295</v>
      </c>
    </row>
    <row r="477" ht="13.5" customHeight="1">
      <c r="B477" s="54"/>
      <c r="C477" s="38"/>
      <c r="D477" s="55"/>
      <c r="E477" s="56"/>
      <c r="F477" s="55"/>
      <c r="G477" s="55"/>
      <c r="H477" s="56"/>
      <c r="J477" s="57" t="str">
        <f t="shared" si="1"/>
        <v>FalcónMirandaSanta Ana</v>
      </c>
      <c r="K477" s="50" t="s">
        <v>181</v>
      </c>
      <c r="L477" s="50" t="s">
        <v>182</v>
      </c>
      <c r="M477" s="50" t="s">
        <v>1292</v>
      </c>
      <c r="N477" s="50" t="s">
        <v>232</v>
      </c>
      <c r="O477" s="50" t="s">
        <v>1296</v>
      </c>
      <c r="P477" s="50" t="s">
        <v>318</v>
      </c>
    </row>
    <row r="478" ht="13.5" customHeight="1">
      <c r="B478" s="54"/>
      <c r="C478" s="38"/>
      <c r="D478" s="55"/>
      <c r="E478" s="56"/>
      <c r="F478" s="55"/>
      <c r="G478" s="55"/>
      <c r="H478" s="56"/>
      <c r="J478" s="57" t="str">
        <f t="shared" si="1"/>
        <v>FalcónMirandaGuzmán Guillermo</v>
      </c>
      <c r="K478" s="50" t="s">
        <v>181</v>
      </c>
      <c r="L478" s="50" t="s">
        <v>182</v>
      </c>
      <c r="M478" s="50" t="s">
        <v>1292</v>
      </c>
      <c r="N478" s="50" t="s">
        <v>232</v>
      </c>
      <c r="O478" s="50" t="s">
        <v>1297</v>
      </c>
      <c r="P478" s="50" t="s">
        <v>1298</v>
      </c>
    </row>
    <row r="479" ht="13.5" customHeight="1">
      <c r="B479" s="54"/>
      <c r="C479" s="38"/>
      <c r="D479" s="55"/>
      <c r="E479" s="56"/>
      <c r="F479" s="55"/>
      <c r="G479" s="55"/>
      <c r="H479" s="56"/>
      <c r="J479" s="57" t="str">
        <f t="shared" si="1"/>
        <v>FalcónMirandaMitare</v>
      </c>
      <c r="K479" s="50" t="s">
        <v>181</v>
      </c>
      <c r="L479" s="50" t="s">
        <v>182</v>
      </c>
      <c r="M479" s="50" t="s">
        <v>1292</v>
      </c>
      <c r="N479" s="50" t="s">
        <v>232</v>
      </c>
      <c r="O479" s="50" t="s">
        <v>1299</v>
      </c>
      <c r="P479" s="50" t="s">
        <v>1300</v>
      </c>
    </row>
    <row r="480" ht="13.5" customHeight="1">
      <c r="B480" s="54"/>
      <c r="C480" s="38"/>
      <c r="D480" s="55"/>
      <c r="E480" s="56"/>
      <c r="F480" s="55"/>
      <c r="G480" s="55"/>
      <c r="H480" s="56"/>
      <c r="J480" s="57" t="str">
        <f t="shared" si="1"/>
        <v>FalcónMirandaRio Seco</v>
      </c>
      <c r="K480" s="50" t="s">
        <v>181</v>
      </c>
      <c r="L480" s="50" t="s">
        <v>182</v>
      </c>
      <c r="M480" s="50" t="s">
        <v>1292</v>
      </c>
      <c r="N480" s="50" t="s">
        <v>232</v>
      </c>
      <c r="O480" s="50" t="s">
        <v>1301</v>
      </c>
      <c r="P480" s="50" t="s">
        <v>1302</v>
      </c>
    </row>
    <row r="481" ht="13.5" customHeight="1">
      <c r="B481" s="54"/>
      <c r="C481" s="38"/>
      <c r="D481" s="55"/>
      <c r="E481" s="56"/>
      <c r="F481" s="55"/>
      <c r="G481" s="55"/>
      <c r="H481" s="56"/>
      <c r="J481" s="57" t="str">
        <f t="shared" si="1"/>
        <v>FalcónMirandaSabaneta</v>
      </c>
      <c r="K481" s="50" t="s">
        <v>181</v>
      </c>
      <c r="L481" s="50" t="s">
        <v>182</v>
      </c>
      <c r="M481" s="50" t="s">
        <v>1292</v>
      </c>
      <c r="N481" s="50" t="s">
        <v>232</v>
      </c>
      <c r="O481" s="50" t="s">
        <v>1303</v>
      </c>
      <c r="P481" s="50" t="s">
        <v>811</v>
      </c>
    </row>
    <row r="482" ht="13.5" customHeight="1">
      <c r="B482" s="54"/>
      <c r="C482" s="38"/>
      <c r="D482" s="55"/>
      <c r="E482" s="56"/>
      <c r="F482" s="55"/>
      <c r="G482" s="55"/>
      <c r="H482" s="56"/>
      <c r="J482" s="57" t="str">
        <f t="shared" si="1"/>
        <v>FalcónMonseñor IturrizaChichiriviche</v>
      </c>
      <c r="K482" s="50" t="s">
        <v>181</v>
      </c>
      <c r="L482" s="50" t="s">
        <v>182</v>
      </c>
      <c r="M482" s="50" t="s">
        <v>1304</v>
      </c>
      <c r="N482" s="50" t="s">
        <v>1305</v>
      </c>
      <c r="O482" s="50" t="s">
        <v>1306</v>
      </c>
      <c r="P482" s="50" t="s">
        <v>1307</v>
      </c>
    </row>
    <row r="483" ht="13.5" customHeight="1">
      <c r="B483" s="54"/>
      <c r="C483" s="38"/>
      <c r="D483" s="55"/>
      <c r="E483" s="56"/>
      <c r="F483" s="55"/>
      <c r="G483" s="55"/>
      <c r="H483" s="56"/>
      <c r="J483" s="57" t="str">
        <f t="shared" si="1"/>
        <v>FalcónMonseñor IturrizaBoca De Tocuyo</v>
      </c>
      <c r="K483" s="50" t="s">
        <v>181</v>
      </c>
      <c r="L483" s="50" t="s">
        <v>182</v>
      </c>
      <c r="M483" s="50" t="s">
        <v>1304</v>
      </c>
      <c r="N483" s="50" t="s">
        <v>1305</v>
      </c>
      <c r="O483" s="50" t="s">
        <v>1308</v>
      </c>
      <c r="P483" s="50" t="s">
        <v>1309</v>
      </c>
    </row>
    <row r="484" ht="13.5" customHeight="1">
      <c r="B484" s="54"/>
      <c r="C484" s="38"/>
      <c r="D484" s="55"/>
      <c r="E484" s="56"/>
      <c r="F484" s="55"/>
      <c r="G484" s="55"/>
      <c r="H484" s="56"/>
      <c r="J484" s="57" t="str">
        <f t="shared" si="1"/>
        <v>FalcónMonseñor IturrizaTocuyo De La Costa</v>
      </c>
      <c r="K484" s="50" t="s">
        <v>181</v>
      </c>
      <c r="L484" s="50" t="s">
        <v>182</v>
      </c>
      <c r="M484" s="50" t="s">
        <v>1304</v>
      </c>
      <c r="N484" s="50" t="s">
        <v>1305</v>
      </c>
      <c r="O484" s="50" t="s">
        <v>1310</v>
      </c>
      <c r="P484" s="50" t="s">
        <v>1311</v>
      </c>
    </row>
    <row r="485" ht="13.5" customHeight="1">
      <c r="B485" s="54"/>
      <c r="C485" s="38"/>
      <c r="D485" s="55"/>
      <c r="E485" s="56"/>
      <c r="F485" s="55"/>
      <c r="G485" s="55"/>
      <c r="H485" s="56"/>
      <c r="J485" s="57" t="str">
        <f t="shared" si="1"/>
        <v>FalcónPalmasolaPalmasola</v>
      </c>
      <c r="K485" s="50" t="s">
        <v>181</v>
      </c>
      <c r="L485" s="50" t="s">
        <v>182</v>
      </c>
      <c r="M485" s="50" t="s">
        <v>1312</v>
      </c>
      <c r="N485" s="50" t="s">
        <v>1313</v>
      </c>
      <c r="O485" s="50" t="s">
        <v>1314</v>
      </c>
      <c r="P485" s="50" t="s">
        <v>1313</v>
      </c>
    </row>
    <row r="486" ht="13.5" customHeight="1">
      <c r="B486" s="54"/>
      <c r="C486" s="38"/>
      <c r="D486" s="55"/>
      <c r="E486" s="56"/>
      <c r="F486" s="55"/>
      <c r="G486" s="55"/>
      <c r="H486" s="56"/>
      <c r="J486" s="57" t="str">
        <f t="shared" si="1"/>
        <v>FalcónPetitCabure</v>
      </c>
      <c r="K486" s="50" t="s">
        <v>181</v>
      </c>
      <c r="L486" s="50" t="s">
        <v>182</v>
      </c>
      <c r="M486" s="50" t="s">
        <v>1315</v>
      </c>
      <c r="N486" s="50" t="s">
        <v>1316</v>
      </c>
      <c r="O486" s="50" t="s">
        <v>1317</v>
      </c>
      <c r="P486" s="50" t="s">
        <v>1318</v>
      </c>
    </row>
    <row r="487" ht="13.5" customHeight="1">
      <c r="B487" s="54"/>
      <c r="C487" s="38"/>
      <c r="D487" s="55"/>
      <c r="E487" s="56"/>
      <c r="F487" s="55"/>
      <c r="G487" s="55"/>
      <c r="H487" s="56"/>
      <c r="J487" s="57" t="str">
        <f t="shared" si="1"/>
        <v>FalcónPetitColina</v>
      </c>
      <c r="K487" s="50" t="s">
        <v>181</v>
      </c>
      <c r="L487" s="50" t="s">
        <v>182</v>
      </c>
      <c r="M487" s="50" t="s">
        <v>1315</v>
      </c>
      <c r="N487" s="50" t="s">
        <v>1316</v>
      </c>
      <c r="O487" s="50" t="s">
        <v>1319</v>
      </c>
      <c r="P487" s="50" t="s">
        <v>1217</v>
      </c>
    </row>
    <row r="488" ht="13.5" customHeight="1">
      <c r="B488" s="54"/>
      <c r="C488" s="38"/>
      <c r="D488" s="55"/>
      <c r="E488" s="56"/>
      <c r="F488" s="55"/>
      <c r="G488" s="55"/>
      <c r="H488" s="56"/>
      <c r="J488" s="57" t="str">
        <f t="shared" si="1"/>
        <v>FalcónPetitCurimagua</v>
      </c>
      <c r="K488" s="50" t="s">
        <v>181</v>
      </c>
      <c r="L488" s="50" t="s">
        <v>182</v>
      </c>
      <c r="M488" s="50" t="s">
        <v>1315</v>
      </c>
      <c r="N488" s="50" t="s">
        <v>1316</v>
      </c>
      <c r="O488" s="50" t="s">
        <v>1320</v>
      </c>
      <c r="P488" s="50" t="s">
        <v>1321</v>
      </c>
    </row>
    <row r="489" ht="13.5" customHeight="1">
      <c r="B489" s="54"/>
      <c r="C489" s="38"/>
      <c r="D489" s="55"/>
      <c r="E489" s="56"/>
      <c r="F489" s="55"/>
      <c r="G489" s="55"/>
      <c r="H489" s="56"/>
      <c r="J489" s="57" t="str">
        <f t="shared" si="1"/>
        <v>FalcónPírituPiritu</v>
      </c>
      <c r="K489" s="50" t="s">
        <v>181</v>
      </c>
      <c r="L489" s="50" t="s">
        <v>182</v>
      </c>
      <c r="M489" s="50" t="s">
        <v>1322</v>
      </c>
      <c r="N489" s="50" t="s">
        <v>297</v>
      </c>
      <c r="O489" s="50" t="s">
        <v>1323</v>
      </c>
      <c r="P489" s="50" t="s">
        <v>1324</v>
      </c>
    </row>
    <row r="490" ht="13.5" customHeight="1">
      <c r="B490" s="54"/>
      <c r="C490" s="38"/>
      <c r="D490" s="55"/>
      <c r="E490" s="56"/>
      <c r="F490" s="55"/>
      <c r="G490" s="55"/>
      <c r="H490" s="56"/>
      <c r="J490" s="57" t="str">
        <f t="shared" si="1"/>
        <v>FalcónPírituSan José De La Costa</v>
      </c>
      <c r="K490" s="50" t="s">
        <v>181</v>
      </c>
      <c r="L490" s="50" t="s">
        <v>182</v>
      </c>
      <c r="M490" s="50" t="s">
        <v>1322</v>
      </c>
      <c r="N490" s="50" t="s">
        <v>297</v>
      </c>
      <c r="O490" s="50" t="s">
        <v>1325</v>
      </c>
      <c r="P490" s="50" t="s">
        <v>1326</v>
      </c>
    </row>
    <row r="491" ht="13.5" customHeight="1">
      <c r="B491" s="54"/>
      <c r="C491" s="38"/>
      <c r="D491" s="55"/>
      <c r="E491" s="56"/>
      <c r="F491" s="55"/>
      <c r="G491" s="55"/>
      <c r="H491" s="56"/>
      <c r="J491" s="57" t="str">
        <f t="shared" si="1"/>
        <v>FalcónSan FranciscoSan Francisco</v>
      </c>
      <c r="K491" s="50" t="s">
        <v>181</v>
      </c>
      <c r="L491" s="50" t="s">
        <v>182</v>
      </c>
      <c r="M491" s="50" t="s">
        <v>1327</v>
      </c>
      <c r="N491" s="50" t="s">
        <v>638</v>
      </c>
      <c r="O491" s="50" t="s">
        <v>1328</v>
      </c>
      <c r="P491" s="50" t="s">
        <v>638</v>
      </c>
    </row>
    <row r="492" ht="13.5" customHeight="1">
      <c r="B492" s="54"/>
      <c r="C492" s="38"/>
      <c r="D492" s="55"/>
      <c r="E492" s="56"/>
      <c r="F492" s="55"/>
      <c r="G492" s="55"/>
      <c r="H492" s="56"/>
      <c r="J492" s="57" t="str">
        <f t="shared" si="1"/>
        <v>FalcónSilvaTucacas</v>
      </c>
      <c r="K492" s="50" t="s">
        <v>181</v>
      </c>
      <c r="L492" s="50" t="s">
        <v>182</v>
      </c>
      <c r="M492" s="50" t="s">
        <v>1329</v>
      </c>
      <c r="N492" s="50" t="s">
        <v>1330</v>
      </c>
      <c r="O492" s="50" t="s">
        <v>1331</v>
      </c>
      <c r="P492" s="50" t="s">
        <v>1332</v>
      </c>
    </row>
    <row r="493" ht="13.5" customHeight="1">
      <c r="B493" s="54"/>
      <c r="C493" s="38"/>
      <c r="D493" s="55"/>
      <c r="E493" s="56"/>
      <c r="F493" s="55"/>
      <c r="G493" s="55"/>
      <c r="H493" s="56"/>
      <c r="J493" s="57" t="str">
        <f t="shared" si="1"/>
        <v>FalcónSilvaBoca De Aroa</v>
      </c>
      <c r="K493" s="50" t="s">
        <v>181</v>
      </c>
      <c r="L493" s="50" t="s">
        <v>182</v>
      </c>
      <c r="M493" s="50" t="s">
        <v>1329</v>
      </c>
      <c r="N493" s="50" t="s">
        <v>1330</v>
      </c>
      <c r="O493" s="50" t="s">
        <v>1333</v>
      </c>
      <c r="P493" s="50" t="s">
        <v>1334</v>
      </c>
    </row>
    <row r="494" ht="13.5" customHeight="1">
      <c r="B494" s="54"/>
      <c r="C494" s="38"/>
      <c r="D494" s="55"/>
      <c r="E494" s="56"/>
      <c r="F494" s="55"/>
      <c r="G494" s="55"/>
      <c r="H494" s="56"/>
      <c r="J494" s="57" t="str">
        <f t="shared" si="1"/>
        <v>FalcónSucreSucre</v>
      </c>
      <c r="K494" s="50" t="s">
        <v>181</v>
      </c>
      <c r="L494" s="50" t="s">
        <v>182</v>
      </c>
      <c r="M494" s="50" t="s">
        <v>1335</v>
      </c>
      <c r="N494" s="50" t="s">
        <v>271</v>
      </c>
      <c r="O494" s="50" t="s">
        <v>1336</v>
      </c>
      <c r="P494" s="50" t="s">
        <v>271</v>
      </c>
    </row>
    <row r="495" ht="13.5" customHeight="1">
      <c r="B495" s="54"/>
      <c r="C495" s="38"/>
      <c r="D495" s="55"/>
      <c r="E495" s="56"/>
      <c r="F495" s="55"/>
      <c r="G495" s="55"/>
      <c r="H495" s="56"/>
      <c r="J495" s="57" t="str">
        <f t="shared" si="1"/>
        <v>FalcónSucrePecaya</v>
      </c>
      <c r="K495" s="50" t="s">
        <v>181</v>
      </c>
      <c r="L495" s="50" t="s">
        <v>182</v>
      </c>
      <c r="M495" s="50" t="s">
        <v>1335</v>
      </c>
      <c r="N495" s="50" t="s">
        <v>271</v>
      </c>
      <c r="O495" s="50" t="s">
        <v>1337</v>
      </c>
      <c r="P495" s="50" t="s">
        <v>1338</v>
      </c>
    </row>
    <row r="496" ht="13.5" customHeight="1">
      <c r="B496" s="54"/>
      <c r="C496" s="38"/>
      <c r="D496" s="55"/>
      <c r="E496" s="56"/>
      <c r="F496" s="55"/>
      <c r="G496" s="55"/>
      <c r="H496" s="56"/>
      <c r="J496" s="57" t="str">
        <f t="shared" si="1"/>
        <v>FalcónTocóperoTocopero</v>
      </c>
      <c r="K496" s="50" t="s">
        <v>181</v>
      </c>
      <c r="L496" s="50" t="s">
        <v>182</v>
      </c>
      <c r="M496" s="50" t="s">
        <v>1339</v>
      </c>
      <c r="N496" s="50" t="s">
        <v>1340</v>
      </c>
      <c r="O496" s="50" t="s">
        <v>1341</v>
      </c>
      <c r="P496" s="50" t="s">
        <v>1342</v>
      </c>
    </row>
    <row r="497" ht="13.5" customHeight="1">
      <c r="B497" s="54"/>
      <c r="C497" s="38"/>
      <c r="D497" s="55"/>
      <c r="E497" s="56"/>
      <c r="F497" s="55"/>
      <c r="G497" s="55"/>
      <c r="H497" s="56"/>
      <c r="J497" s="57" t="str">
        <f t="shared" si="1"/>
        <v>FalcónUniónSanta Cruz De Bucaral</v>
      </c>
      <c r="K497" s="50" t="s">
        <v>181</v>
      </c>
      <c r="L497" s="50" t="s">
        <v>182</v>
      </c>
      <c r="M497" s="50" t="s">
        <v>1343</v>
      </c>
      <c r="N497" s="50" t="s">
        <v>1344</v>
      </c>
      <c r="O497" s="50" t="s">
        <v>1345</v>
      </c>
      <c r="P497" s="50" t="s">
        <v>1346</v>
      </c>
    </row>
    <row r="498" ht="13.5" customHeight="1">
      <c r="B498" s="54"/>
      <c r="C498" s="38"/>
      <c r="D498" s="55"/>
      <c r="E498" s="56"/>
      <c r="F498" s="55"/>
      <c r="G498" s="55"/>
      <c r="H498" s="56"/>
      <c r="J498" s="57" t="str">
        <f t="shared" si="1"/>
        <v>FalcónUniónEl Charal</v>
      </c>
      <c r="K498" s="50" t="s">
        <v>181</v>
      </c>
      <c r="L498" s="50" t="s">
        <v>182</v>
      </c>
      <c r="M498" s="50" t="s">
        <v>1343</v>
      </c>
      <c r="N498" s="50" t="s">
        <v>1344</v>
      </c>
      <c r="O498" s="50" t="s">
        <v>1347</v>
      </c>
      <c r="P498" s="50" t="s">
        <v>1348</v>
      </c>
    </row>
    <row r="499" ht="13.5" customHeight="1">
      <c r="B499" s="54"/>
      <c r="C499" s="38"/>
      <c r="D499" s="55"/>
      <c r="E499" s="56"/>
      <c r="F499" s="55"/>
      <c r="G499" s="55"/>
      <c r="H499" s="56"/>
      <c r="J499" s="57" t="str">
        <f t="shared" si="1"/>
        <v>FalcónUniónLas Vegas Deltuy</v>
      </c>
      <c r="K499" s="50" t="s">
        <v>181</v>
      </c>
      <c r="L499" s="50" t="s">
        <v>182</v>
      </c>
      <c r="M499" s="50" t="s">
        <v>1343</v>
      </c>
      <c r="N499" s="50" t="s">
        <v>1344</v>
      </c>
      <c r="O499" s="50" t="s">
        <v>1349</v>
      </c>
      <c r="P499" s="50" t="s">
        <v>1350</v>
      </c>
    </row>
    <row r="500" ht="13.5" customHeight="1">
      <c r="B500" s="54"/>
      <c r="C500" s="38"/>
      <c r="D500" s="55"/>
      <c r="E500" s="56"/>
      <c r="F500" s="55"/>
      <c r="G500" s="55"/>
      <c r="H500" s="56"/>
      <c r="J500" s="57" t="str">
        <f t="shared" si="1"/>
        <v>FalcónUrumacoUrumaco</v>
      </c>
      <c r="K500" s="50" t="s">
        <v>181</v>
      </c>
      <c r="L500" s="50" t="s">
        <v>182</v>
      </c>
      <c r="M500" s="50" t="s">
        <v>1351</v>
      </c>
      <c r="N500" s="50" t="s">
        <v>1352</v>
      </c>
      <c r="O500" s="50" t="s">
        <v>1353</v>
      </c>
      <c r="P500" s="50" t="s">
        <v>1352</v>
      </c>
    </row>
    <row r="501" ht="13.5" customHeight="1">
      <c r="B501" s="54"/>
      <c r="C501" s="38"/>
      <c r="D501" s="55"/>
      <c r="E501" s="56"/>
      <c r="F501" s="55"/>
      <c r="G501" s="55"/>
      <c r="H501" s="56"/>
      <c r="J501" s="57" t="str">
        <f t="shared" si="1"/>
        <v>FalcónUrumacoBruzual</v>
      </c>
      <c r="K501" s="50" t="s">
        <v>181</v>
      </c>
      <c r="L501" s="50" t="s">
        <v>182</v>
      </c>
      <c r="M501" s="50" t="s">
        <v>1351</v>
      </c>
      <c r="N501" s="50" t="s">
        <v>1352</v>
      </c>
      <c r="O501" s="50" t="s">
        <v>1354</v>
      </c>
      <c r="P501" s="50" t="s">
        <v>483</v>
      </c>
    </row>
    <row r="502" ht="13.5" customHeight="1">
      <c r="B502" s="54"/>
      <c r="C502" s="38"/>
      <c r="D502" s="55"/>
      <c r="E502" s="56"/>
      <c r="F502" s="55"/>
      <c r="G502" s="55"/>
      <c r="H502" s="56"/>
      <c r="J502" s="57" t="str">
        <f t="shared" si="1"/>
        <v>FalcónZamoraPuerto Cumarebo</v>
      </c>
      <c r="K502" s="50" t="s">
        <v>181</v>
      </c>
      <c r="L502" s="50" t="s">
        <v>182</v>
      </c>
      <c r="M502" s="50" t="s">
        <v>1355</v>
      </c>
      <c r="N502" s="50" t="s">
        <v>438</v>
      </c>
      <c r="O502" s="50" t="s">
        <v>1356</v>
      </c>
      <c r="P502" s="50" t="s">
        <v>1357</v>
      </c>
    </row>
    <row r="503" ht="13.5" customHeight="1">
      <c r="B503" s="54"/>
      <c r="C503" s="38"/>
      <c r="D503" s="55"/>
      <c r="E503" s="56"/>
      <c r="F503" s="55"/>
      <c r="G503" s="55"/>
      <c r="H503" s="56"/>
      <c r="J503" s="57" t="str">
        <f t="shared" si="1"/>
        <v>FalcónZamoraLa Ciénaga</v>
      </c>
      <c r="K503" s="50" t="s">
        <v>181</v>
      </c>
      <c r="L503" s="50" t="s">
        <v>182</v>
      </c>
      <c r="M503" s="50" t="s">
        <v>1355</v>
      </c>
      <c r="N503" s="50" t="s">
        <v>438</v>
      </c>
      <c r="O503" s="50" t="s">
        <v>1358</v>
      </c>
      <c r="P503" s="50" t="s">
        <v>1359</v>
      </c>
    </row>
    <row r="504" ht="13.5" customHeight="1">
      <c r="B504" s="54"/>
      <c r="C504" s="38"/>
      <c r="D504" s="55"/>
      <c r="E504" s="56"/>
      <c r="F504" s="55"/>
      <c r="G504" s="55"/>
      <c r="H504" s="56"/>
      <c r="J504" s="57" t="str">
        <f t="shared" si="1"/>
        <v>FalcónZamoraLa Soledad</v>
      </c>
      <c r="K504" s="50" t="s">
        <v>181</v>
      </c>
      <c r="L504" s="50" t="s">
        <v>182</v>
      </c>
      <c r="M504" s="50" t="s">
        <v>1355</v>
      </c>
      <c r="N504" s="50" t="s">
        <v>438</v>
      </c>
      <c r="O504" s="50" t="s">
        <v>1360</v>
      </c>
      <c r="P504" s="50" t="s">
        <v>1361</v>
      </c>
    </row>
    <row r="505" ht="13.5" customHeight="1">
      <c r="B505" s="54"/>
      <c r="C505" s="38"/>
      <c r="D505" s="55"/>
      <c r="E505" s="56"/>
      <c r="F505" s="55"/>
      <c r="G505" s="55"/>
      <c r="H505" s="56"/>
      <c r="J505" s="57" t="str">
        <f t="shared" si="1"/>
        <v>FalcónZamoraPueblo Cumarebo</v>
      </c>
      <c r="K505" s="50" t="s">
        <v>181</v>
      </c>
      <c r="L505" s="50" t="s">
        <v>182</v>
      </c>
      <c r="M505" s="50" t="s">
        <v>1355</v>
      </c>
      <c r="N505" s="50" t="s">
        <v>438</v>
      </c>
      <c r="O505" s="50" t="s">
        <v>1362</v>
      </c>
      <c r="P505" s="50" t="s">
        <v>1363</v>
      </c>
    </row>
    <row r="506" ht="13.5" customHeight="1">
      <c r="B506" s="54"/>
      <c r="C506" s="38"/>
      <c r="D506" s="55"/>
      <c r="E506" s="56"/>
      <c r="F506" s="55"/>
      <c r="G506" s="55"/>
      <c r="H506" s="56"/>
      <c r="J506" s="57" t="str">
        <f t="shared" si="1"/>
        <v>FalcónZamoraZazarida</v>
      </c>
      <c r="K506" s="50" t="s">
        <v>181</v>
      </c>
      <c r="L506" s="50" t="s">
        <v>182</v>
      </c>
      <c r="M506" s="50" t="s">
        <v>1355</v>
      </c>
      <c r="N506" s="50" t="s">
        <v>438</v>
      </c>
      <c r="O506" s="50" t="s">
        <v>1364</v>
      </c>
      <c r="P506" s="50" t="s">
        <v>1204</v>
      </c>
    </row>
    <row r="507" ht="13.5" customHeight="1">
      <c r="B507" s="54"/>
      <c r="C507" s="38"/>
      <c r="D507" s="55"/>
      <c r="E507" s="56"/>
      <c r="F507" s="55"/>
      <c r="G507" s="55"/>
      <c r="H507" s="56"/>
      <c r="J507" s="57" t="str">
        <f t="shared" si="1"/>
        <v>GuáricoCamaguánCamaguan</v>
      </c>
      <c r="K507" s="50" t="s">
        <v>195</v>
      </c>
      <c r="L507" s="50" t="s">
        <v>196</v>
      </c>
      <c r="M507" s="50" t="s">
        <v>1365</v>
      </c>
      <c r="N507" s="50" t="s">
        <v>463</v>
      </c>
      <c r="O507" s="50" t="s">
        <v>1366</v>
      </c>
      <c r="P507" s="50" t="s">
        <v>1367</v>
      </c>
    </row>
    <row r="508" ht="13.5" customHeight="1">
      <c r="B508" s="54"/>
      <c r="C508" s="38"/>
      <c r="D508" s="55"/>
      <c r="E508" s="56"/>
      <c r="F508" s="55"/>
      <c r="G508" s="55"/>
      <c r="H508" s="56"/>
      <c r="J508" s="57" t="str">
        <f t="shared" si="1"/>
        <v>GuáricoCamaguánPuerto Miranda</v>
      </c>
      <c r="K508" s="50" t="s">
        <v>195</v>
      </c>
      <c r="L508" s="50" t="s">
        <v>196</v>
      </c>
      <c r="M508" s="50" t="s">
        <v>1365</v>
      </c>
      <c r="N508" s="50" t="s">
        <v>463</v>
      </c>
      <c r="O508" s="50" t="s">
        <v>1368</v>
      </c>
      <c r="P508" s="50" t="s">
        <v>1369</v>
      </c>
    </row>
    <row r="509" ht="13.5" customHeight="1">
      <c r="B509" s="54"/>
      <c r="C509" s="38"/>
      <c r="D509" s="55"/>
      <c r="E509" s="56"/>
      <c r="F509" s="55"/>
      <c r="G509" s="55"/>
      <c r="H509" s="56"/>
      <c r="J509" s="57" t="str">
        <f t="shared" si="1"/>
        <v>GuáricoCamaguánUverito</v>
      </c>
      <c r="K509" s="50" t="s">
        <v>195</v>
      </c>
      <c r="L509" s="50" t="s">
        <v>196</v>
      </c>
      <c r="M509" s="50" t="s">
        <v>1365</v>
      </c>
      <c r="N509" s="50" t="s">
        <v>463</v>
      </c>
      <c r="O509" s="50" t="s">
        <v>1370</v>
      </c>
      <c r="P509" s="50" t="s">
        <v>613</v>
      </c>
    </row>
    <row r="510" ht="13.5" customHeight="1">
      <c r="B510" s="54"/>
      <c r="C510" s="38"/>
      <c r="D510" s="55"/>
      <c r="E510" s="56"/>
      <c r="F510" s="55"/>
      <c r="G510" s="55"/>
      <c r="H510" s="56"/>
      <c r="J510" s="57" t="str">
        <f t="shared" si="1"/>
        <v>GuáricoChaguaramasChaguaramas</v>
      </c>
      <c r="K510" s="50" t="s">
        <v>195</v>
      </c>
      <c r="L510" s="50" t="s">
        <v>196</v>
      </c>
      <c r="M510" s="50" t="s">
        <v>1371</v>
      </c>
      <c r="N510" s="50" t="s">
        <v>474</v>
      </c>
      <c r="O510" s="50" t="s">
        <v>1372</v>
      </c>
      <c r="P510" s="50" t="s">
        <v>474</v>
      </c>
    </row>
    <row r="511" ht="13.5" customHeight="1">
      <c r="B511" s="54"/>
      <c r="C511" s="38"/>
      <c r="D511" s="55"/>
      <c r="E511" s="56"/>
      <c r="F511" s="55"/>
      <c r="G511" s="55"/>
      <c r="H511" s="56"/>
      <c r="J511" s="57" t="str">
        <f t="shared" si="1"/>
        <v>GuáricoEl SocorroEl Socorro</v>
      </c>
      <c r="K511" s="50" t="s">
        <v>195</v>
      </c>
      <c r="L511" s="50" t="s">
        <v>196</v>
      </c>
      <c r="M511" s="50" t="s">
        <v>1373</v>
      </c>
      <c r="N511" s="50" t="s">
        <v>484</v>
      </c>
      <c r="O511" s="50" t="s">
        <v>1374</v>
      </c>
      <c r="P511" s="50" t="s">
        <v>484</v>
      </c>
    </row>
    <row r="512" ht="13.5" customHeight="1">
      <c r="B512" s="54"/>
      <c r="C512" s="38"/>
      <c r="D512" s="55"/>
      <c r="E512" s="56"/>
      <c r="F512" s="55"/>
      <c r="G512" s="55"/>
      <c r="H512" s="56"/>
      <c r="J512" s="57" t="str">
        <f t="shared" si="1"/>
        <v>GuáricoSan Gerónimo De GuayabalCapital San Gerónimo De Guayabal</v>
      </c>
      <c r="K512" s="50" t="s">
        <v>195</v>
      </c>
      <c r="L512" s="50" t="s">
        <v>196</v>
      </c>
      <c r="M512" s="50" t="s">
        <v>1375</v>
      </c>
      <c r="N512" s="50" t="s">
        <v>494</v>
      </c>
      <c r="O512" s="50" t="s">
        <v>1376</v>
      </c>
      <c r="P512" s="50" t="s">
        <v>1377</v>
      </c>
    </row>
    <row r="513" ht="13.5" customHeight="1">
      <c r="B513" s="54"/>
      <c r="C513" s="38"/>
      <c r="D513" s="55"/>
      <c r="E513" s="56"/>
      <c r="F513" s="55"/>
      <c r="G513" s="55"/>
      <c r="H513" s="56"/>
      <c r="J513" s="57" t="str">
        <f t="shared" si="1"/>
        <v>GuáricoSan Gerónimo De GuayabalCazorla</v>
      </c>
      <c r="K513" s="50" t="s">
        <v>195</v>
      </c>
      <c r="L513" s="50" t="s">
        <v>196</v>
      </c>
      <c r="M513" s="50" t="s">
        <v>1375</v>
      </c>
      <c r="N513" s="50" t="s">
        <v>494</v>
      </c>
      <c r="O513" s="50" t="s">
        <v>1378</v>
      </c>
      <c r="P513" s="50" t="s">
        <v>1379</v>
      </c>
    </row>
    <row r="514" ht="13.5" customHeight="1">
      <c r="B514" s="54"/>
      <c r="C514" s="38"/>
      <c r="D514" s="55"/>
      <c r="E514" s="56"/>
      <c r="F514" s="55"/>
      <c r="G514" s="55"/>
      <c r="H514" s="56"/>
      <c r="J514" s="57" t="str">
        <f t="shared" si="1"/>
        <v>GuáricoLeonardo InfanteCapital Valle De La Pascua</v>
      </c>
      <c r="K514" s="50" t="s">
        <v>195</v>
      </c>
      <c r="L514" s="50" t="s">
        <v>196</v>
      </c>
      <c r="M514" s="50" t="s">
        <v>1380</v>
      </c>
      <c r="N514" s="50" t="s">
        <v>502</v>
      </c>
      <c r="O514" s="50" t="s">
        <v>1381</v>
      </c>
      <c r="P514" s="50" t="s">
        <v>1382</v>
      </c>
    </row>
    <row r="515" ht="13.5" customHeight="1">
      <c r="B515" s="54"/>
      <c r="C515" s="38"/>
      <c r="D515" s="55"/>
      <c r="E515" s="56"/>
      <c r="F515" s="55"/>
      <c r="G515" s="55"/>
      <c r="H515" s="56"/>
      <c r="J515" s="57" t="str">
        <f t="shared" si="1"/>
        <v>GuáricoLeonardo InfanteEspino</v>
      </c>
      <c r="K515" s="50" t="s">
        <v>195</v>
      </c>
      <c r="L515" s="50" t="s">
        <v>196</v>
      </c>
      <c r="M515" s="50" t="s">
        <v>1380</v>
      </c>
      <c r="N515" s="50" t="s">
        <v>502</v>
      </c>
      <c r="O515" s="50" t="s">
        <v>1383</v>
      </c>
      <c r="P515" s="50" t="s">
        <v>1384</v>
      </c>
    </row>
    <row r="516" ht="13.5" customHeight="1">
      <c r="B516" s="54"/>
      <c r="C516" s="38"/>
      <c r="D516" s="55"/>
      <c r="E516" s="56"/>
      <c r="F516" s="55"/>
      <c r="G516" s="55"/>
      <c r="H516" s="56"/>
      <c r="J516" s="57" t="str">
        <f t="shared" si="1"/>
        <v>GuáricoLas MercedesCapital Las Mercedes</v>
      </c>
      <c r="K516" s="50" t="s">
        <v>195</v>
      </c>
      <c r="L516" s="50" t="s">
        <v>196</v>
      </c>
      <c r="M516" s="50" t="s">
        <v>1385</v>
      </c>
      <c r="N516" s="50" t="s">
        <v>513</v>
      </c>
      <c r="O516" s="50" t="s">
        <v>1386</v>
      </c>
      <c r="P516" s="50" t="s">
        <v>1387</v>
      </c>
    </row>
    <row r="517" ht="13.5" customHeight="1">
      <c r="B517" s="54"/>
      <c r="C517" s="38"/>
      <c r="D517" s="55"/>
      <c r="E517" s="56"/>
      <c r="F517" s="55"/>
      <c r="G517" s="55"/>
      <c r="H517" s="56"/>
      <c r="J517" s="57" t="str">
        <f t="shared" si="1"/>
        <v>GuáricoLas MercedesCabruta</v>
      </c>
      <c r="K517" s="50" t="s">
        <v>195</v>
      </c>
      <c r="L517" s="50" t="s">
        <v>196</v>
      </c>
      <c r="M517" s="50" t="s">
        <v>1385</v>
      </c>
      <c r="N517" s="50" t="s">
        <v>513</v>
      </c>
      <c r="O517" s="50" t="s">
        <v>1388</v>
      </c>
      <c r="P517" s="50" t="s">
        <v>1389</v>
      </c>
    </row>
    <row r="518" ht="13.5" customHeight="1">
      <c r="B518" s="54"/>
      <c r="C518" s="38"/>
      <c r="D518" s="55"/>
      <c r="E518" s="56"/>
      <c r="F518" s="55"/>
      <c r="G518" s="55"/>
      <c r="H518" s="56"/>
      <c r="J518" s="57" t="str">
        <f t="shared" si="1"/>
        <v>GuáricoLas MercedesSanta Rita De Manapire</v>
      </c>
      <c r="K518" s="50" t="s">
        <v>195</v>
      </c>
      <c r="L518" s="50" t="s">
        <v>196</v>
      </c>
      <c r="M518" s="50" t="s">
        <v>1385</v>
      </c>
      <c r="N518" s="50" t="s">
        <v>513</v>
      </c>
      <c r="O518" s="50" t="s">
        <v>1390</v>
      </c>
      <c r="P518" s="50" t="s">
        <v>1391</v>
      </c>
    </row>
    <row r="519" ht="13.5" customHeight="1">
      <c r="B519" s="54"/>
      <c r="C519" s="38"/>
      <c r="D519" s="55"/>
      <c r="E519" s="56"/>
      <c r="F519" s="55"/>
      <c r="G519" s="55"/>
      <c r="H519" s="56"/>
      <c r="J519" s="57" t="str">
        <f t="shared" si="1"/>
        <v>GuáricoJulián MelladoCapital El Sombrero</v>
      </c>
      <c r="K519" s="50" t="s">
        <v>195</v>
      </c>
      <c r="L519" s="50" t="s">
        <v>196</v>
      </c>
      <c r="M519" s="50" t="s">
        <v>1392</v>
      </c>
      <c r="N519" s="50" t="s">
        <v>521</v>
      </c>
      <c r="O519" s="50" t="s">
        <v>1393</v>
      </c>
      <c r="P519" s="50" t="s">
        <v>1394</v>
      </c>
    </row>
    <row r="520" ht="13.5" customHeight="1">
      <c r="B520" s="54"/>
      <c r="C520" s="38"/>
      <c r="D520" s="55"/>
      <c r="E520" s="56"/>
      <c r="F520" s="55"/>
      <c r="G520" s="55"/>
      <c r="H520" s="56"/>
      <c r="J520" s="57" t="str">
        <f t="shared" si="1"/>
        <v>GuáricoJulián MelladoSosa</v>
      </c>
      <c r="K520" s="50" t="s">
        <v>195</v>
      </c>
      <c r="L520" s="50" t="s">
        <v>196</v>
      </c>
      <c r="M520" s="50" t="s">
        <v>1392</v>
      </c>
      <c r="N520" s="50" t="s">
        <v>521</v>
      </c>
      <c r="O520" s="50" t="s">
        <v>1395</v>
      </c>
      <c r="P520" s="50" t="s">
        <v>550</v>
      </c>
    </row>
    <row r="521" ht="13.5" customHeight="1">
      <c r="B521" s="54"/>
      <c r="C521" s="38"/>
      <c r="D521" s="55"/>
      <c r="E521" s="56"/>
      <c r="F521" s="55"/>
      <c r="G521" s="55"/>
      <c r="H521" s="56"/>
      <c r="J521" s="57" t="str">
        <f t="shared" si="1"/>
        <v>GuáricoFrancisco De MirandaCapital Calabozo</v>
      </c>
      <c r="K521" s="50" t="s">
        <v>195</v>
      </c>
      <c r="L521" s="50" t="s">
        <v>196</v>
      </c>
      <c r="M521" s="50" t="s">
        <v>1396</v>
      </c>
      <c r="N521" s="50" t="s">
        <v>211</v>
      </c>
      <c r="O521" s="50" t="s">
        <v>1397</v>
      </c>
      <c r="P521" s="50" t="s">
        <v>1398</v>
      </c>
    </row>
    <row r="522" ht="13.5" customHeight="1">
      <c r="B522" s="54"/>
      <c r="C522" s="38"/>
      <c r="D522" s="55"/>
      <c r="E522" s="56"/>
      <c r="F522" s="55"/>
      <c r="G522" s="55"/>
      <c r="H522" s="56"/>
      <c r="J522" s="57" t="str">
        <f t="shared" si="1"/>
        <v>GuáricoFrancisco De MirandaEl Calvario</v>
      </c>
      <c r="K522" s="50" t="s">
        <v>195</v>
      </c>
      <c r="L522" s="50" t="s">
        <v>196</v>
      </c>
      <c r="M522" s="50" t="s">
        <v>1396</v>
      </c>
      <c r="N522" s="50" t="s">
        <v>211</v>
      </c>
      <c r="O522" s="50" t="s">
        <v>1399</v>
      </c>
      <c r="P522" s="50" t="s">
        <v>1400</v>
      </c>
    </row>
    <row r="523" ht="13.5" customHeight="1">
      <c r="B523" s="54"/>
      <c r="C523" s="38"/>
      <c r="D523" s="55"/>
      <c r="E523" s="56"/>
      <c r="F523" s="55"/>
      <c r="G523" s="55"/>
      <c r="H523" s="56"/>
      <c r="J523" s="57" t="str">
        <f t="shared" si="1"/>
        <v>GuáricoFrancisco De MirandaEl Rastro</v>
      </c>
      <c r="K523" s="50" t="s">
        <v>195</v>
      </c>
      <c r="L523" s="50" t="s">
        <v>196</v>
      </c>
      <c r="M523" s="50" t="s">
        <v>1396</v>
      </c>
      <c r="N523" s="50" t="s">
        <v>211</v>
      </c>
      <c r="O523" s="50" t="s">
        <v>1401</v>
      </c>
      <c r="P523" s="50" t="s">
        <v>1402</v>
      </c>
    </row>
    <row r="524" ht="13.5" customHeight="1">
      <c r="B524" s="54"/>
      <c r="C524" s="38"/>
      <c r="D524" s="55"/>
      <c r="E524" s="56"/>
      <c r="F524" s="55"/>
      <c r="G524" s="55"/>
      <c r="H524" s="56"/>
      <c r="J524" s="57" t="str">
        <f t="shared" si="1"/>
        <v>GuáricoFrancisco De MirandaGuardatinajas</v>
      </c>
      <c r="K524" s="50" t="s">
        <v>195</v>
      </c>
      <c r="L524" s="50" t="s">
        <v>196</v>
      </c>
      <c r="M524" s="50" t="s">
        <v>1396</v>
      </c>
      <c r="N524" s="50" t="s">
        <v>211</v>
      </c>
      <c r="O524" s="50" t="s">
        <v>1403</v>
      </c>
      <c r="P524" s="50" t="s">
        <v>1404</v>
      </c>
    </row>
    <row r="525" ht="13.5" customHeight="1">
      <c r="B525" s="54"/>
      <c r="C525" s="38"/>
      <c r="D525" s="55"/>
      <c r="E525" s="56"/>
      <c r="F525" s="55"/>
      <c r="G525" s="55"/>
      <c r="H525" s="56"/>
      <c r="J525" s="57" t="str">
        <f t="shared" si="1"/>
        <v>GuáricoJosé Tadeo MonagasCapital Altagracia De Orituco</v>
      </c>
      <c r="K525" s="50" t="s">
        <v>195</v>
      </c>
      <c r="L525" s="50" t="s">
        <v>196</v>
      </c>
      <c r="M525" s="50" t="s">
        <v>1405</v>
      </c>
      <c r="N525" s="50" t="s">
        <v>539</v>
      </c>
      <c r="O525" s="50" t="s">
        <v>1406</v>
      </c>
      <c r="P525" s="50" t="s">
        <v>1407</v>
      </c>
    </row>
    <row r="526" ht="13.5" customHeight="1">
      <c r="B526" s="54"/>
      <c r="C526" s="38"/>
      <c r="D526" s="55"/>
      <c r="E526" s="56"/>
      <c r="F526" s="55"/>
      <c r="G526" s="55"/>
      <c r="H526" s="56"/>
      <c r="J526" s="57" t="str">
        <f t="shared" si="1"/>
        <v>GuáricoJosé Tadeo MonagasLezama</v>
      </c>
      <c r="K526" s="50" t="s">
        <v>195</v>
      </c>
      <c r="L526" s="50" t="s">
        <v>196</v>
      </c>
      <c r="M526" s="50" t="s">
        <v>1405</v>
      </c>
      <c r="N526" s="50" t="s">
        <v>539</v>
      </c>
      <c r="O526" s="50" t="s">
        <v>1408</v>
      </c>
      <c r="P526" s="50" t="s">
        <v>1409</v>
      </c>
    </row>
    <row r="527" ht="13.5" customHeight="1">
      <c r="B527" s="54"/>
      <c r="C527" s="38"/>
      <c r="D527" s="55"/>
      <c r="E527" s="56"/>
      <c r="F527" s="55"/>
      <c r="G527" s="55"/>
      <c r="H527" s="56"/>
      <c r="J527" s="57" t="str">
        <f t="shared" si="1"/>
        <v>GuáricoJosé Tadeo MonagasLibertad De Orituco</v>
      </c>
      <c r="K527" s="50" t="s">
        <v>195</v>
      </c>
      <c r="L527" s="50" t="s">
        <v>196</v>
      </c>
      <c r="M527" s="50" t="s">
        <v>1405</v>
      </c>
      <c r="N527" s="50" t="s">
        <v>539</v>
      </c>
      <c r="O527" s="50" t="s">
        <v>1410</v>
      </c>
      <c r="P527" s="50" t="s">
        <v>1411</v>
      </c>
    </row>
    <row r="528" ht="13.5" customHeight="1">
      <c r="B528" s="54"/>
      <c r="C528" s="38"/>
      <c r="D528" s="55"/>
      <c r="E528" s="56"/>
      <c r="F528" s="55"/>
      <c r="G528" s="55"/>
      <c r="H528" s="56"/>
      <c r="J528" s="57" t="str">
        <f t="shared" si="1"/>
        <v>GuáricoJosé Tadeo MonagasPaso Real De Macaira</v>
      </c>
      <c r="K528" s="50" t="s">
        <v>195</v>
      </c>
      <c r="L528" s="50" t="s">
        <v>196</v>
      </c>
      <c r="M528" s="50" t="s">
        <v>1405</v>
      </c>
      <c r="N528" s="50" t="s">
        <v>539</v>
      </c>
      <c r="O528" s="50" t="s">
        <v>1412</v>
      </c>
      <c r="P528" s="50" t="s">
        <v>1413</v>
      </c>
    </row>
    <row r="529" ht="13.5" customHeight="1">
      <c r="B529" s="54"/>
      <c r="C529" s="38"/>
      <c r="D529" s="55"/>
      <c r="E529" s="56"/>
      <c r="F529" s="55"/>
      <c r="G529" s="55"/>
      <c r="H529" s="56"/>
      <c r="J529" s="57" t="str">
        <f t="shared" si="1"/>
        <v>GuáricoJosé Tadeo MonagasSan Francisco De Macaira</v>
      </c>
      <c r="K529" s="50" t="s">
        <v>195</v>
      </c>
      <c r="L529" s="50" t="s">
        <v>196</v>
      </c>
      <c r="M529" s="50" t="s">
        <v>1405</v>
      </c>
      <c r="N529" s="50" t="s">
        <v>539</v>
      </c>
      <c r="O529" s="50" t="s">
        <v>1414</v>
      </c>
      <c r="P529" s="50" t="s">
        <v>1415</v>
      </c>
    </row>
    <row r="530" ht="13.5" customHeight="1">
      <c r="B530" s="54"/>
      <c r="C530" s="38"/>
      <c r="D530" s="55"/>
      <c r="E530" s="56"/>
      <c r="F530" s="55"/>
      <c r="G530" s="55"/>
      <c r="H530" s="56"/>
      <c r="J530" s="57" t="str">
        <f t="shared" si="1"/>
        <v>GuáricoJosé Tadeo MonagasSan Rafael De Orituco</v>
      </c>
      <c r="K530" s="50" t="s">
        <v>195</v>
      </c>
      <c r="L530" s="50" t="s">
        <v>196</v>
      </c>
      <c r="M530" s="50" t="s">
        <v>1405</v>
      </c>
      <c r="N530" s="50" t="s">
        <v>539</v>
      </c>
      <c r="O530" s="50" t="s">
        <v>1416</v>
      </c>
      <c r="P530" s="50" t="s">
        <v>1417</v>
      </c>
    </row>
    <row r="531" ht="13.5" customHeight="1">
      <c r="B531" s="54"/>
      <c r="C531" s="38"/>
      <c r="D531" s="55"/>
      <c r="E531" s="56"/>
      <c r="F531" s="55"/>
      <c r="G531" s="55"/>
      <c r="H531" s="56"/>
      <c r="J531" s="57" t="str">
        <f t="shared" si="1"/>
        <v>GuáricoJosé Tadeo MonagasSoublette</v>
      </c>
      <c r="K531" s="50" t="s">
        <v>195</v>
      </c>
      <c r="L531" s="50" t="s">
        <v>196</v>
      </c>
      <c r="M531" s="50" t="s">
        <v>1405</v>
      </c>
      <c r="N531" s="50" t="s">
        <v>539</v>
      </c>
      <c r="O531" s="50" t="s">
        <v>1418</v>
      </c>
      <c r="P531" s="50" t="s">
        <v>1419</v>
      </c>
    </row>
    <row r="532" ht="13.5" customHeight="1">
      <c r="B532" s="54"/>
      <c r="C532" s="38"/>
      <c r="D532" s="55"/>
      <c r="E532" s="56"/>
      <c r="F532" s="55"/>
      <c r="G532" s="55"/>
      <c r="H532" s="56"/>
      <c r="J532" s="57" t="str">
        <f t="shared" si="1"/>
        <v>GuáricoOrtizCapital Ortiz</v>
      </c>
      <c r="K532" s="50" t="s">
        <v>195</v>
      </c>
      <c r="L532" s="50" t="s">
        <v>196</v>
      </c>
      <c r="M532" s="50" t="s">
        <v>1420</v>
      </c>
      <c r="N532" s="50" t="s">
        <v>547</v>
      </c>
      <c r="O532" s="50" t="s">
        <v>1421</v>
      </c>
      <c r="P532" s="50" t="s">
        <v>1422</v>
      </c>
    </row>
    <row r="533" ht="13.5" customHeight="1">
      <c r="B533" s="54"/>
      <c r="C533" s="38"/>
      <c r="D533" s="55"/>
      <c r="E533" s="56"/>
      <c r="F533" s="55"/>
      <c r="G533" s="55"/>
      <c r="H533" s="56"/>
      <c r="J533" s="57" t="str">
        <f t="shared" si="1"/>
        <v>GuáricoOrtizSan Francisco De Tiznados</v>
      </c>
      <c r="K533" s="50" t="s">
        <v>195</v>
      </c>
      <c r="L533" s="50" t="s">
        <v>196</v>
      </c>
      <c r="M533" s="50" t="s">
        <v>1420</v>
      </c>
      <c r="N533" s="50" t="s">
        <v>547</v>
      </c>
      <c r="O533" s="50" t="s">
        <v>1423</v>
      </c>
      <c r="P533" s="50" t="s">
        <v>1424</v>
      </c>
    </row>
    <row r="534" ht="13.5" customHeight="1">
      <c r="B534" s="54"/>
      <c r="C534" s="38"/>
      <c r="D534" s="55"/>
      <c r="E534" s="56"/>
      <c r="F534" s="55"/>
      <c r="G534" s="55"/>
      <c r="H534" s="56"/>
      <c r="J534" s="57" t="str">
        <f t="shared" si="1"/>
        <v>GuáricoOrtizSan José De Tiznados</v>
      </c>
      <c r="K534" s="50" t="s">
        <v>195</v>
      </c>
      <c r="L534" s="50" t="s">
        <v>196</v>
      </c>
      <c r="M534" s="50" t="s">
        <v>1420</v>
      </c>
      <c r="N534" s="50" t="s">
        <v>547</v>
      </c>
      <c r="O534" s="50" t="s">
        <v>1425</v>
      </c>
      <c r="P534" s="50" t="s">
        <v>1426</v>
      </c>
    </row>
    <row r="535" ht="13.5" customHeight="1">
      <c r="B535" s="54"/>
      <c r="C535" s="38"/>
      <c r="D535" s="55"/>
      <c r="E535" s="56"/>
      <c r="F535" s="55"/>
      <c r="G535" s="55"/>
      <c r="H535" s="56"/>
      <c r="J535" s="57" t="str">
        <f t="shared" si="1"/>
        <v>GuáricoOrtizSan Lorenzo De Tiznados</v>
      </c>
      <c r="K535" s="50" t="s">
        <v>195</v>
      </c>
      <c r="L535" s="50" t="s">
        <v>196</v>
      </c>
      <c r="M535" s="50" t="s">
        <v>1420</v>
      </c>
      <c r="N535" s="50" t="s">
        <v>547</v>
      </c>
      <c r="O535" s="50" t="s">
        <v>1427</v>
      </c>
      <c r="P535" s="50" t="s">
        <v>1428</v>
      </c>
    </row>
    <row r="536" ht="13.5" customHeight="1">
      <c r="B536" s="54"/>
      <c r="C536" s="38"/>
      <c r="D536" s="55"/>
      <c r="E536" s="56"/>
      <c r="F536" s="55"/>
      <c r="G536" s="55"/>
      <c r="H536" s="56"/>
      <c r="J536" s="57" t="str">
        <f t="shared" si="1"/>
        <v>GuáricoJosé Félix RibasCapital Tucupido</v>
      </c>
      <c r="K536" s="50" t="s">
        <v>195</v>
      </c>
      <c r="L536" s="50" t="s">
        <v>196</v>
      </c>
      <c r="M536" s="50" t="s">
        <v>1429</v>
      </c>
      <c r="N536" s="50" t="s">
        <v>399</v>
      </c>
      <c r="O536" s="50" t="s">
        <v>1430</v>
      </c>
      <c r="P536" s="50" t="s">
        <v>1431</v>
      </c>
    </row>
    <row r="537" ht="13.5" customHeight="1">
      <c r="B537" s="54"/>
      <c r="C537" s="38"/>
      <c r="D537" s="55"/>
      <c r="E537" s="56"/>
      <c r="F537" s="55"/>
      <c r="G537" s="55"/>
      <c r="H537" s="56"/>
      <c r="J537" s="57" t="str">
        <f t="shared" si="1"/>
        <v>GuáricoJosé Félix RibasSan Rafael De Laya</v>
      </c>
      <c r="K537" s="50" t="s">
        <v>195</v>
      </c>
      <c r="L537" s="50" t="s">
        <v>196</v>
      </c>
      <c r="M537" s="50" t="s">
        <v>1429</v>
      </c>
      <c r="N537" s="50" t="s">
        <v>399</v>
      </c>
      <c r="O537" s="50" t="s">
        <v>1432</v>
      </c>
      <c r="P537" s="50" t="s">
        <v>1433</v>
      </c>
    </row>
    <row r="538" ht="13.5" customHeight="1">
      <c r="B538" s="54"/>
      <c r="C538" s="38"/>
      <c r="D538" s="55"/>
      <c r="E538" s="56"/>
      <c r="F538" s="55"/>
      <c r="G538" s="55"/>
      <c r="H538" s="56"/>
      <c r="J538" s="57" t="str">
        <f t="shared" si="1"/>
        <v>GuáricoJuan Germán RoscioCapital San Juan De Los Morros</v>
      </c>
      <c r="K538" s="50" t="s">
        <v>195</v>
      </c>
      <c r="L538" s="50" t="s">
        <v>196</v>
      </c>
      <c r="M538" s="50" t="s">
        <v>1434</v>
      </c>
      <c r="N538" s="50" t="s">
        <v>558</v>
      </c>
      <c r="O538" s="50" t="s">
        <v>1435</v>
      </c>
      <c r="P538" s="50" t="s">
        <v>1436</v>
      </c>
    </row>
    <row r="539" ht="13.5" customHeight="1">
      <c r="B539" s="54"/>
      <c r="C539" s="38"/>
      <c r="D539" s="55"/>
      <c r="E539" s="56"/>
      <c r="F539" s="55"/>
      <c r="G539" s="55"/>
      <c r="H539" s="56"/>
      <c r="J539" s="57" t="str">
        <f t="shared" si="1"/>
        <v>GuáricoJuan Germán RoscioCantagallo</v>
      </c>
      <c r="K539" s="50" t="s">
        <v>195</v>
      </c>
      <c r="L539" s="50" t="s">
        <v>196</v>
      </c>
      <c r="M539" s="50" t="s">
        <v>1434</v>
      </c>
      <c r="N539" s="50" t="s">
        <v>558</v>
      </c>
      <c r="O539" s="50" t="s">
        <v>1437</v>
      </c>
      <c r="P539" s="50" t="s">
        <v>1438</v>
      </c>
    </row>
    <row r="540" ht="13.5" customHeight="1">
      <c r="B540" s="54"/>
      <c r="C540" s="38"/>
      <c r="D540" s="55"/>
      <c r="E540" s="56"/>
      <c r="F540" s="55"/>
      <c r="G540" s="55"/>
      <c r="H540" s="56"/>
      <c r="J540" s="57" t="str">
        <f t="shared" si="1"/>
        <v>GuáricoJuan Germán RoscioParapara</v>
      </c>
      <c r="K540" s="50" t="s">
        <v>195</v>
      </c>
      <c r="L540" s="50" t="s">
        <v>196</v>
      </c>
      <c r="M540" s="50" t="s">
        <v>1434</v>
      </c>
      <c r="N540" s="50" t="s">
        <v>558</v>
      </c>
      <c r="O540" s="50" t="s">
        <v>1439</v>
      </c>
      <c r="P540" s="50" t="s">
        <v>1440</v>
      </c>
    </row>
    <row r="541" ht="13.5" customHeight="1">
      <c r="B541" s="54"/>
      <c r="C541" s="38"/>
      <c r="D541" s="55"/>
      <c r="E541" s="56"/>
      <c r="F541" s="55"/>
      <c r="G541" s="55"/>
      <c r="H541" s="56"/>
      <c r="J541" s="57" t="str">
        <f t="shared" si="1"/>
        <v>GuáricoSan José De GuaribeSan José De Guaribe</v>
      </c>
      <c r="K541" s="50" t="s">
        <v>195</v>
      </c>
      <c r="L541" s="50" t="s">
        <v>196</v>
      </c>
      <c r="M541" s="50" t="s">
        <v>1441</v>
      </c>
      <c r="N541" s="50" t="s">
        <v>563</v>
      </c>
      <c r="O541" s="50" t="s">
        <v>1442</v>
      </c>
      <c r="P541" s="50" t="s">
        <v>563</v>
      </c>
    </row>
    <row r="542" ht="13.5" customHeight="1">
      <c r="B542" s="54"/>
      <c r="C542" s="38"/>
      <c r="D542" s="55"/>
      <c r="E542" s="56"/>
      <c r="F542" s="55"/>
      <c r="G542" s="55"/>
      <c r="H542" s="56"/>
      <c r="J542" s="57" t="str">
        <f t="shared" si="1"/>
        <v>GuáricoSanta María De IpireCapital Santa María De Ipire</v>
      </c>
      <c r="K542" s="50" t="s">
        <v>195</v>
      </c>
      <c r="L542" s="50" t="s">
        <v>196</v>
      </c>
      <c r="M542" s="50" t="s">
        <v>1443</v>
      </c>
      <c r="N542" s="50" t="s">
        <v>569</v>
      </c>
      <c r="O542" s="50" t="s">
        <v>1444</v>
      </c>
      <c r="P542" s="50" t="s">
        <v>1445</v>
      </c>
    </row>
    <row r="543" ht="13.5" customHeight="1">
      <c r="B543" s="54"/>
      <c r="C543" s="38"/>
      <c r="D543" s="55"/>
      <c r="E543" s="56"/>
      <c r="F543" s="55"/>
      <c r="G543" s="55"/>
      <c r="H543" s="56"/>
      <c r="J543" s="57" t="str">
        <f t="shared" si="1"/>
        <v>GuáricoSanta María De IpireAltamira</v>
      </c>
      <c r="K543" s="50" t="s">
        <v>195</v>
      </c>
      <c r="L543" s="50" t="s">
        <v>196</v>
      </c>
      <c r="M543" s="50" t="s">
        <v>1443</v>
      </c>
      <c r="N543" s="50" t="s">
        <v>569</v>
      </c>
      <c r="O543" s="50" t="s">
        <v>1446</v>
      </c>
      <c r="P543" s="50" t="s">
        <v>858</v>
      </c>
    </row>
    <row r="544" ht="13.5" customHeight="1">
      <c r="B544" s="54"/>
      <c r="C544" s="38"/>
      <c r="D544" s="55"/>
      <c r="E544" s="56"/>
      <c r="F544" s="55"/>
      <c r="G544" s="55"/>
      <c r="H544" s="56"/>
      <c r="J544" s="57" t="str">
        <f t="shared" si="1"/>
        <v>GuáricoPedro ZarazaCapital Zaraza</v>
      </c>
      <c r="K544" s="50" t="s">
        <v>195</v>
      </c>
      <c r="L544" s="50" t="s">
        <v>196</v>
      </c>
      <c r="M544" s="50" t="s">
        <v>1447</v>
      </c>
      <c r="N544" s="50" t="s">
        <v>571</v>
      </c>
      <c r="O544" s="50" t="s">
        <v>1448</v>
      </c>
      <c r="P544" s="50" t="s">
        <v>1449</v>
      </c>
    </row>
    <row r="545" ht="13.5" customHeight="1">
      <c r="B545" s="54"/>
      <c r="C545" s="38"/>
      <c r="D545" s="55"/>
      <c r="E545" s="56"/>
      <c r="F545" s="55"/>
      <c r="G545" s="55"/>
      <c r="H545" s="56"/>
      <c r="J545" s="57" t="str">
        <f t="shared" si="1"/>
        <v>GuáricoPedro ZarazaSan José De Unare</v>
      </c>
      <c r="K545" s="50" t="s">
        <v>195</v>
      </c>
      <c r="L545" s="50" t="s">
        <v>196</v>
      </c>
      <c r="M545" s="50" t="s">
        <v>1447</v>
      </c>
      <c r="N545" s="50" t="s">
        <v>571</v>
      </c>
      <c r="O545" s="50" t="s">
        <v>1450</v>
      </c>
      <c r="P545" s="50" t="s">
        <v>1451</v>
      </c>
    </row>
    <row r="546" ht="13.5" customHeight="1">
      <c r="B546" s="54"/>
      <c r="C546" s="38"/>
      <c r="D546" s="55"/>
      <c r="E546" s="56"/>
      <c r="F546" s="55"/>
      <c r="G546" s="55"/>
      <c r="H546" s="56"/>
      <c r="J546" s="57" t="str">
        <f t="shared" si="1"/>
        <v>LaraAndrés Eloy BlancoPio Tamayo</v>
      </c>
      <c r="K546" s="50" t="s">
        <v>208</v>
      </c>
      <c r="L546" s="50" t="s">
        <v>209</v>
      </c>
      <c r="M546" s="50" t="s">
        <v>1452</v>
      </c>
      <c r="N546" s="50" t="s">
        <v>456</v>
      </c>
      <c r="O546" s="50" t="s">
        <v>1453</v>
      </c>
      <c r="P546" s="50" t="s">
        <v>1454</v>
      </c>
    </row>
    <row r="547" ht="13.5" customHeight="1">
      <c r="B547" s="54"/>
      <c r="C547" s="38"/>
      <c r="D547" s="55"/>
      <c r="E547" s="56"/>
      <c r="F547" s="55"/>
      <c r="G547" s="55"/>
      <c r="H547" s="56"/>
      <c r="J547" s="57" t="str">
        <f t="shared" si="1"/>
        <v>LaraAndrés Eloy BlancoQuebrada Honda De Guache</v>
      </c>
      <c r="K547" s="50" t="s">
        <v>208</v>
      </c>
      <c r="L547" s="50" t="s">
        <v>209</v>
      </c>
      <c r="M547" s="50" t="s">
        <v>1452</v>
      </c>
      <c r="N547" s="50" t="s">
        <v>456</v>
      </c>
      <c r="O547" s="50" t="s">
        <v>1455</v>
      </c>
      <c r="P547" s="50" t="s">
        <v>1456</v>
      </c>
    </row>
    <row r="548" ht="13.5" customHeight="1">
      <c r="B548" s="54"/>
      <c r="C548" s="38"/>
      <c r="D548" s="55"/>
      <c r="E548" s="56"/>
      <c r="F548" s="55"/>
      <c r="G548" s="55"/>
      <c r="H548" s="56"/>
      <c r="J548" s="57" t="str">
        <f t="shared" si="1"/>
        <v>LaraAndrés Eloy BlancoYacambu</v>
      </c>
      <c r="K548" s="50" t="s">
        <v>208</v>
      </c>
      <c r="L548" s="50" t="s">
        <v>209</v>
      </c>
      <c r="M548" s="50" t="s">
        <v>1452</v>
      </c>
      <c r="N548" s="50" t="s">
        <v>456</v>
      </c>
      <c r="O548" s="50" t="s">
        <v>1457</v>
      </c>
      <c r="P548" s="50" t="s">
        <v>1458</v>
      </c>
    </row>
    <row r="549" ht="13.5" customHeight="1">
      <c r="B549" s="54"/>
      <c r="C549" s="38"/>
      <c r="D549" s="55"/>
      <c r="E549" s="56"/>
      <c r="F549" s="55"/>
      <c r="G549" s="55"/>
      <c r="H549" s="56"/>
      <c r="J549" s="57" t="str">
        <f t="shared" si="1"/>
        <v>LaraCrespoFreitez</v>
      </c>
      <c r="K549" s="50" t="s">
        <v>208</v>
      </c>
      <c r="L549" s="50" t="s">
        <v>209</v>
      </c>
      <c r="M549" s="50" t="s">
        <v>1459</v>
      </c>
      <c r="N549" s="50" t="s">
        <v>467</v>
      </c>
      <c r="O549" s="50" t="s">
        <v>1460</v>
      </c>
      <c r="P549" s="50" t="s">
        <v>1461</v>
      </c>
    </row>
    <row r="550" ht="13.5" customHeight="1">
      <c r="B550" s="54"/>
      <c r="C550" s="38"/>
      <c r="D550" s="55"/>
      <c r="E550" s="56"/>
      <c r="F550" s="55"/>
      <c r="G550" s="55"/>
      <c r="H550" s="56"/>
      <c r="J550" s="57" t="str">
        <f t="shared" si="1"/>
        <v>LaraCrespoJosé María Blanco</v>
      </c>
      <c r="K550" s="50" t="s">
        <v>208</v>
      </c>
      <c r="L550" s="50" t="s">
        <v>209</v>
      </c>
      <c r="M550" s="50" t="s">
        <v>1459</v>
      </c>
      <c r="N550" s="50" t="s">
        <v>467</v>
      </c>
      <c r="O550" s="50" t="s">
        <v>1462</v>
      </c>
      <c r="P550" s="50" t="s">
        <v>1463</v>
      </c>
    </row>
    <row r="551" ht="13.5" customHeight="1">
      <c r="B551" s="54"/>
      <c r="C551" s="38"/>
      <c r="D551" s="55"/>
      <c r="E551" s="56"/>
      <c r="F551" s="55"/>
      <c r="G551" s="55"/>
      <c r="H551" s="56"/>
      <c r="J551" s="57" t="str">
        <f t="shared" si="1"/>
        <v>LaraIribarrenCatedral</v>
      </c>
      <c r="K551" s="50" t="s">
        <v>208</v>
      </c>
      <c r="L551" s="50" t="s">
        <v>209</v>
      </c>
      <c r="M551" s="50" t="s">
        <v>1464</v>
      </c>
      <c r="N551" s="50" t="s">
        <v>478</v>
      </c>
      <c r="O551" s="50" t="s">
        <v>1465</v>
      </c>
      <c r="P551" s="50" t="s">
        <v>104</v>
      </c>
    </row>
    <row r="552" ht="13.5" customHeight="1">
      <c r="B552" s="54"/>
      <c r="C552" s="38"/>
      <c r="D552" s="55"/>
      <c r="E552" s="56"/>
      <c r="F552" s="55"/>
      <c r="G552" s="55"/>
      <c r="H552" s="56"/>
      <c r="J552" s="57" t="str">
        <f t="shared" si="1"/>
        <v>LaraIribarrenConcepción</v>
      </c>
      <c r="K552" s="50" t="s">
        <v>208</v>
      </c>
      <c r="L552" s="50" t="s">
        <v>209</v>
      </c>
      <c r="M552" s="50" t="s">
        <v>1464</v>
      </c>
      <c r="N552" s="50" t="s">
        <v>478</v>
      </c>
      <c r="O552" s="50" t="s">
        <v>1466</v>
      </c>
      <c r="P552" s="50" t="s">
        <v>1467</v>
      </c>
    </row>
    <row r="553" ht="13.5" customHeight="1">
      <c r="B553" s="54"/>
      <c r="C553" s="38"/>
      <c r="D553" s="55"/>
      <c r="E553" s="56"/>
      <c r="F553" s="55"/>
      <c r="G553" s="55"/>
      <c r="H553" s="56"/>
      <c r="J553" s="57" t="str">
        <f t="shared" si="1"/>
        <v>LaraIribarrenEl Cují</v>
      </c>
      <c r="K553" s="50" t="s">
        <v>208</v>
      </c>
      <c r="L553" s="50" t="s">
        <v>209</v>
      </c>
      <c r="M553" s="50" t="s">
        <v>1464</v>
      </c>
      <c r="N553" s="50" t="s">
        <v>478</v>
      </c>
      <c r="O553" s="50" t="s">
        <v>1468</v>
      </c>
      <c r="P553" s="50" t="s">
        <v>1469</v>
      </c>
    </row>
    <row r="554" ht="13.5" customHeight="1">
      <c r="B554" s="54"/>
      <c r="C554" s="38"/>
      <c r="D554" s="55"/>
      <c r="E554" s="56"/>
      <c r="F554" s="55"/>
      <c r="G554" s="55"/>
      <c r="H554" s="56"/>
      <c r="J554" s="57" t="str">
        <f t="shared" si="1"/>
        <v>LaraIribarrenJuan De Villegas</v>
      </c>
      <c r="K554" s="50" t="s">
        <v>208</v>
      </c>
      <c r="L554" s="50" t="s">
        <v>209</v>
      </c>
      <c r="M554" s="50" t="s">
        <v>1464</v>
      </c>
      <c r="N554" s="50" t="s">
        <v>478</v>
      </c>
      <c r="O554" s="50" t="s">
        <v>1470</v>
      </c>
      <c r="P554" s="50" t="s">
        <v>1471</v>
      </c>
    </row>
    <row r="555" ht="13.5" customHeight="1">
      <c r="B555" s="54"/>
      <c r="C555" s="38"/>
      <c r="D555" s="55"/>
      <c r="E555" s="56"/>
      <c r="F555" s="55"/>
      <c r="G555" s="55"/>
      <c r="H555" s="56"/>
      <c r="J555" s="57" t="str">
        <f t="shared" si="1"/>
        <v>LaraIribarrenSanta Rosa</v>
      </c>
      <c r="K555" s="50" t="s">
        <v>208</v>
      </c>
      <c r="L555" s="50" t="s">
        <v>209</v>
      </c>
      <c r="M555" s="50" t="s">
        <v>1464</v>
      </c>
      <c r="N555" s="50" t="s">
        <v>478</v>
      </c>
      <c r="O555" s="50" t="s">
        <v>1472</v>
      </c>
      <c r="P555" s="50" t="s">
        <v>632</v>
      </c>
    </row>
    <row r="556" ht="13.5" customHeight="1">
      <c r="B556" s="54"/>
      <c r="C556" s="38"/>
      <c r="D556" s="55"/>
      <c r="E556" s="56"/>
      <c r="F556" s="55"/>
      <c r="G556" s="55"/>
      <c r="H556" s="56"/>
      <c r="J556" s="57" t="str">
        <f t="shared" si="1"/>
        <v>LaraIribarrenTamaca</v>
      </c>
      <c r="K556" s="50" t="s">
        <v>208</v>
      </c>
      <c r="L556" s="50" t="s">
        <v>209</v>
      </c>
      <c r="M556" s="50" t="s">
        <v>1464</v>
      </c>
      <c r="N556" s="50" t="s">
        <v>478</v>
      </c>
      <c r="O556" s="50" t="s">
        <v>1473</v>
      </c>
      <c r="P556" s="50" t="s">
        <v>1474</v>
      </c>
    </row>
    <row r="557" ht="13.5" customHeight="1">
      <c r="B557" s="54"/>
      <c r="C557" s="38"/>
      <c r="D557" s="55"/>
      <c r="E557" s="56"/>
      <c r="F557" s="55"/>
      <c r="G557" s="55"/>
      <c r="H557" s="56"/>
      <c r="J557" s="57" t="str">
        <f t="shared" si="1"/>
        <v>LaraIribarrenUnión</v>
      </c>
      <c r="K557" s="50" t="s">
        <v>208</v>
      </c>
      <c r="L557" s="50" t="s">
        <v>209</v>
      </c>
      <c r="M557" s="50" t="s">
        <v>1464</v>
      </c>
      <c r="N557" s="50" t="s">
        <v>478</v>
      </c>
      <c r="O557" s="50" t="s">
        <v>1475</v>
      </c>
      <c r="P557" s="50" t="s">
        <v>1344</v>
      </c>
    </row>
    <row r="558" ht="13.5" customHeight="1">
      <c r="B558" s="54"/>
      <c r="C558" s="38"/>
      <c r="D558" s="55"/>
      <c r="E558" s="56"/>
      <c r="F558" s="55"/>
      <c r="G558" s="55"/>
      <c r="H558" s="56"/>
      <c r="J558" s="57" t="str">
        <f t="shared" si="1"/>
        <v>LaraIribarrenAguedo Felipe Alvarado</v>
      </c>
      <c r="K558" s="50" t="s">
        <v>208</v>
      </c>
      <c r="L558" s="50" t="s">
        <v>209</v>
      </c>
      <c r="M558" s="50" t="s">
        <v>1464</v>
      </c>
      <c r="N558" s="50" t="s">
        <v>478</v>
      </c>
      <c r="O558" s="50" t="s">
        <v>1476</v>
      </c>
      <c r="P558" s="50" t="s">
        <v>1477</v>
      </c>
    </row>
    <row r="559" ht="13.5" customHeight="1">
      <c r="B559" s="54"/>
      <c r="C559" s="38"/>
      <c r="D559" s="55"/>
      <c r="E559" s="56"/>
      <c r="F559" s="55"/>
      <c r="G559" s="55"/>
      <c r="H559" s="56"/>
      <c r="J559" s="57" t="str">
        <f t="shared" si="1"/>
        <v>LaraIribarrenBuena Vista</v>
      </c>
      <c r="K559" s="50" t="s">
        <v>208</v>
      </c>
      <c r="L559" s="50" t="s">
        <v>209</v>
      </c>
      <c r="M559" s="50" t="s">
        <v>1464</v>
      </c>
      <c r="N559" s="50" t="s">
        <v>478</v>
      </c>
      <c r="O559" s="50" t="s">
        <v>1478</v>
      </c>
      <c r="P559" s="50" t="s">
        <v>1250</v>
      </c>
    </row>
    <row r="560" ht="13.5" customHeight="1">
      <c r="B560" s="54"/>
      <c r="C560" s="38"/>
      <c r="D560" s="55"/>
      <c r="E560" s="56"/>
      <c r="F560" s="55"/>
      <c r="G560" s="55"/>
      <c r="H560" s="56"/>
      <c r="J560" s="57" t="str">
        <f t="shared" si="1"/>
        <v>LaraIribarrenJuárez</v>
      </c>
      <c r="K560" s="50" t="s">
        <v>208</v>
      </c>
      <c r="L560" s="50" t="s">
        <v>209</v>
      </c>
      <c r="M560" s="50" t="s">
        <v>1464</v>
      </c>
      <c r="N560" s="50" t="s">
        <v>478</v>
      </c>
      <c r="O560" s="50" t="s">
        <v>1479</v>
      </c>
      <c r="P560" s="50" t="s">
        <v>1480</v>
      </c>
    </row>
    <row r="561" ht="13.5" customHeight="1">
      <c r="B561" s="54"/>
      <c r="C561" s="38"/>
      <c r="D561" s="55"/>
      <c r="E561" s="56"/>
      <c r="F561" s="55"/>
      <c r="G561" s="55"/>
      <c r="H561" s="56"/>
      <c r="J561" s="57" t="str">
        <f t="shared" si="1"/>
        <v>LaraJiménezJuan Bautista Rodríguez</v>
      </c>
      <c r="K561" s="50" t="s">
        <v>208</v>
      </c>
      <c r="L561" s="50" t="s">
        <v>209</v>
      </c>
      <c r="M561" s="50" t="s">
        <v>1481</v>
      </c>
      <c r="N561" s="50" t="s">
        <v>487</v>
      </c>
      <c r="O561" s="50" t="s">
        <v>1482</v>
      </c>
      <c r="P561" s="50" t="s">
        <v>1483</v>
      </c>
    </row>
    <row r="562" ht="13.5" customHeight="1">
      <c r="B562" s="54"/>
      <c r="C562" s="38"/>
      <c r="D562" s="55"/>
      <c r="E562" s="56"/>
      <c r="F562" s="55"/>
      <c r="G562" s="55"/>
      <c r="H562" s="56"/>
      <c r="J562" s="57" t="str">
        <f t="shared" si="1"/>
        <v>LaraJiménezCuara</v>
      </c>
      <c r="K562" s="50" t="s">
        <v>208</v>
      </c>
      <c r="L562" s="50" t="s">
        <v>209</v>
      </c>
      <c r="M562" s="50" t="s">
        <v>1481</v>
      </c>
      <c r="N562" s="50" t="s">
        <v>487</v>
      </c>
      <c r="O562" s="50" t="s">
        <v>1484</v>
      </c>
      <c r="P562" s="50" t="s">
        <v>1485</v>
      </c>
    </row>
    <row r="563" ht="13.5" customHeight="1">
      <c r="B563" s="54"/>
      <c r="C563" s="38"/>
      <c r="D563" s="55"/>
      <c r="E563" s="56"/>
      <c r="F563" s="55"/>
      <c r="G563" s="55"/>
      <c r="H563" s="56"/>
      <c r="J563" s="57" t="str">
        <f t="shared" si="1"/>
        <v>LaraJiménezDiego De Lozada</v>
      </c>
      <c r="K563" s="50" t="s">
        <v>208</v>
      </c>
      <c r="L563" s="50" t="s">
        <v>209</v>
      </c>
      <c r="M563" s="50" t="s">
        <v>1481</v>
      </c>
      <c r="N563" s="50" t="s">
        <v>487</v>
      </c>
      <c r="O563" s="50" t="s">
        <v>1486</v>
      </c>
      <c r="P563" s="50" t="s">
        <v>1487</v>
      </c>
    </row>
    <row r="564" ht="13.5" customHeight="1">
      <c r="B564" s="54"/>
      <c r="C564" s="38"/>
      <c r="D564" s="55"/>
      <c r="E564" s="56"/>
      <c r="F564" s="55"/>
      <c r="G564" s="55"/>
      <c r="H564" s="56"/>
      <c r="J564" s="57" t="str">
        <f t="shared" si="1"/>
        <v>LaraJiménezParaíso De San José</v>
      </c>
      <c r="K564" s="50" t="s">
        <v>208</v>
      </c>
      <c r="L564" s="50" t="s">
        <v>209</v>
      </c>
      <c r="M564" s="50" t="s">
        <v>1481</v>
      </c>
      <c r="N564" s="50" t="s">
        <v>487</v>
      </c>
      <c r="O564" s="50" t="s">
        <v>1488</v>
      </c>
      <c r="P564" s="50" t="s">
        <v>1489</v>
      </c>
    </row>
    <row r="565" ht="13.5" customHeight="1">
      <c r="B565" s="54"/>
      <c r="C565" s="38"/>
      <c r="D565" s="55"/>
      <c r="E565" s="56"/>
      <c r="F565" s="55"/>
      <c r="G565" s="55"/>
      <c r="H565" s="56"/>
      <c r="J565" s="57" t="str">
        <f t="shared" si="1"/>
        <v>LaraJiménezSan Miguel</v>
      </c>
      <c r="K565" s="50" t="s">
        <v>208</v>
      </c>
      <c r="L565" s="50" t="s">
        <v>209</v>
      </c>
      <c r="M565" s="50" t="s">
        <v>1481</v>
      </c>
      <c r="N565" s="50" t="s">
        <v>487</v>
      </c>
      <c r="O565" s="50" t="s">
        <v>1490</v>
      </c>
      <c r="P565" s="50" t="s">
        <v>436</v>
      </c>
    </row>
    <row r="566" ht="13.5" customHeight="1">
      <c r="B566" s="54"/>
      <c r="C566" s="38"/>
      <c r="D566" s="55"/>
      <c r="E566" s="56"/>
      <c r="F566" s="55"/>
      <c r="G566" s="55"/>
      <c r="H566" s="56"/>
      <c r="J566" s="57" t="str">
        <f t="shared" si="1"/>
        <v>LaraJiménezTintorero</v>
      </c>
      <c r="K566" s="50" t="s">
        <v>208</v>
      </c>
      <c r="L566" s="50" t="s">
        <v>209</v>
      </c>
      <c r="M566" s="50" t="s">
        <v>1481</v>
      </c>
      <c r="N566" s="50" t="s">
        <v>487</v>
      </c>
      <c r="O566" s="50" t="s">
        <v>1491</v>
      </c>
      <c r="P566" s="50" t="s">
        <v>1492</v>
      </c>
    </row>
    <row r="567" ht="13.5" customHeight="1">
      <c r="B567" s="54"/>
      <c r="C567" s="38"/>
      <c r="D567" s="55"/>
      <c r="E567" s="56"/>
      <c r="F567" s="55"/>
      <c r="G567" s="55"/>
      <c r="H567" s="56"/>
      <c r="J567" s="57" t="str">
        <f t="shared" si="1"/>
        <v>LaraJiménezCabo José Dorante</v>
      </c>
      <c r="K567" s="50" t="s">
        <v>208</v>
      </c>
      <c r="L567" s="50" t="s">
        <v>209</v>
      </c>
      <c r="M567" s="50" t="s">
        <v>1481</v>
      </c>
      <c r="N567" s="50" t="s">
        <v>487</v>
      </c>
      <c r="O567" s="50" t="s">
        <v>1493</v>
      </c>
      <c r="P567" s="50" t="s">
        <v>1494</v>
      </c>
    </row>
    <row r="568" ht="13.5" customHeight="1">
      <c r="B568" s="54"/>
      <c r="C568" s="38"/>
      <c r="D568" s="55"/>
      <c r="E568" s="56"/>
      <c r="F568" s="55"/>
      <c r="G568" s="55"/>
      <c r="H568" s="56"/>
      <c r="J568" s="57" t="str">
        <f t="shared" si="1"/>
        <v>LaraJiménezCoronel Mariano Peraza</v>
      </c>
      <c r="K568" s="50" t="s">
        <v>208</v>
      </c>
      <c r="L568" s="50" t="s">
        <v>209</v>
      </c>
      <c r="M568" s="50" t="s">
        <v>1481</v>
      </c>
      <c r="N568" s="50" t="s">
        <v>487</v>
      </c>
      <c r="O568" s="50" t="s">
        <v>1495</v>
      </c>
      <c r="P568" s="50" t="s">
        <v>1496</v>
      </c>
    </row>
    <row r="569" ht="13.5" customHeight="1">
      <c r="B569" s="54"/>
      <c r="C569" s="38"/>
      <c r="D569" s="55"/>
      <c r="E569" s="56"/>
      <c r="F569" s="55"/>
      <c r="G569" s="55"/>
      <c r="H569" s="56"/>
      <c r="J569" s="57" t="str">
        <f t="shared" si="1"/>
        <v>LaraMoránBolívar</v>
      </c>
      <c r="K569" s="50" t="s">
        <v>208</v>
      </c>
      <c r="L569" s="50" t="s">
        <v>209</v>
      </c>
      <c r="M569" s="50" t="s">
        <v>1497</v>
      </c>
      <c r="N569" s="50" t="s">
        <v>497</v>
      </c>
      <c r="O569" s="50" t="s">
        <v>1498</v>
      </c>
      <c r="P569" s="50" t="s">
        <v>129</v>
      </c>
    </row>
    <row r="570" ht="13.5" customHeight="1">
      <c r="B570" s="54"/>
      <c r="C570" s="38"/>
      <c r="D570" s="55"/>
      <c r="E570" s="56"/>
      <c r="F570" s="55"/>
      <c r="G570" s="55"/>
      <c r="H570" s="56"/>
      <c r="J570" s="57" t="str">
        <f t="shared" si="1"/>
        <v>LaraMoránAnzoátegui</v>
      </c>
      <c r="K570" s="50" t="s">
        <v>208</v>
      </c>
      <c r="L570" s="50" t="s">
        <v>209</v>
      </c>
      <c r="M570" s="50" t="s">
        <v>1497</v>
      </c>
      <c r="N570" s="50" t="s">
        <v>497</v>
      </c>
      <c r="O570" s="50" t="s">
        <v>1499</v>
      </c>
      <c r="P570" s="50" t="s">
        <v>67</v>
      </c>
    </row>
    <row r="571" ht="13.5" customHeight="1">
      <c r="B571" s="54"/>
      <c r="C571" s="38"/>
      <c r="D571" s="55"/>
      <c r="E571" s="56"/>
      <c r="F571" s="55"/>
      <c r="G571" s="55"/>
      <c r="H571" s="56"/>
      <c r="J571" s="57" t="str">
        <f t="shared" si="1"/>
        <v>LaraMoránGuárico</v>
      </c>
      <c r="K571" s="50" t="s">
        <v>208</v>
      </c>
      <c r="L571" s="50" t="s">
        <v>209</v>
      </c>
      <c r="M571" s="50" t="s">
        <v>1497</v>
      </c>
      <c r="N571" s="50" t="s">
        <v>497</v>
      </c>
      <c r="O571" s="50" t="s">
        <v>1500</v>
      </c>
      <c r="P571" s="50" t="s">
        <v>196</v>
      </c>
    </row>
    <row r="572" ht="13.5" customHeight="1">
      <c r="B572" s="54"/>
      <c r="C572" s="38"/>
      <c r="D572" s="55"/>
      <c r="E572" s="56"/>
      <c r="F572" s="55"/>
      <c r="G572" s="55"/>
      <c r="H572" s="56"/>
      <c r="J572" s="57" t="str">
        <f t="shared" si="1"/>
        <v>LaraMoránHilario Luna Y Luna</v>
      </c>
      <c r="K572" s="50" t="s">
        <v>208</v>
      </c>
      <c r="L572" s="50" t="s">
        <v>209</v>
      </c>
      <c r="M572" s="50" t="s">
        <v>1497</v>
      </c>
      <c r="N572" s="50" t="s">
        <v>497</v>
      </c>
      <c r="O572" s="50" t="s">
        <v>1501</v>
      </c>
      <c r="P572" s="50" t="s">
        <v>1502</v>
      </c>
    </row>
    <row r="573" ht="13.5" customHeight="1">
      <c r="B573" s="54"/>
      <c r="C573" s="38"/>
      <c r="D573" s="55"/>
      <c r="E573" s="56"/>
      <c r="F573" s="55"/>
      <c r="G573" s="55"/>
      <c r="H573" s="56"/>
      <c r="J573" s="57" t="str">
        <f t="shared" si="1"/>
        <v>LaraMoránHumocaro Alto</v>
      </c>
      <c r="K573" s="50" t="s">
        <v>208</v>
      </c>
      <c r="L573" s="50" t="s">
        <v>209</v>
      </c>
      <c r="M573" s="50" t="s">
        <v>1497</v>
      </c>
      <c r="N573" s="50" t="s">
        <v>497</v>
      </c>
      <c r="O573" s="50" t="s">
        <v>1503</v>
      </c>
      <c r="P573" s="50" t="s">
        <v>1504</v>
      </c>
    </row>
    <row r="574" ht="13.5" customHeight="1">
      <c r="B574" s="54"/>
      <c r="C574" s="38"/>
      <c r="D574" s="55"/>
      <c r="E574" s="56"/>
      <c r="F574" s="55"/>
      <c r="G574" s="55"/>
      <c r="H574" s="56"/>
      <c r="J574" s="57" t="str">
        <f t="shared" si="1"/>
        <v>LaraMoránHumocaro Bajo</v>
      </c>
      <c r="K574" s="50" t="s">
        <v>208</v>
      </c>
      <c r="L574" s="50" t="s">
        <v>209</v>
      </c>
      <c r="M574" s="50" t="s">
        <v>1497</v>
      </c>
      <c r="N574" s="50" t="s">
        <v>497</v>
      </c>
      <c r="O574" s="50" t="s">
        <v>1505</v>
      </c>
      <c r="P574" s="50" t="s">
        <v>1506</v>
      </c>
    </row>
    <row r="575" ht="13.5" customHeight="1">
      <c r="B575" s="54"/>
      <c r="C575" s="38"/>
      <c r="D575" s="55"/>
      <c r="E575" s="56"/>
      <c r="F575" s="55"/>
      <c r="G575" s="55"/>
      <c r="H575" s="56"/>
      <c r="J575" s="57" t="str">
        <f t="shared" si="1"/>
        <v>LaraMoránLa Candelaria</v>
      </c>
      <c r="K575" s="50" t="s">
        <v>208</v>
      </c>
      <c r="L575" s="50" t="s">
        <v>209</v>
      </c>
      <c r="M575" s="50" t="s">
        <v>1497</v>
      </c>
      <c r="N575" s="50" t="s">
        <v>497</v>
      </c>
      <c r="O575" s="50" t="s">
        <v>1507</v>
      </c>
      <c r="P575" s="50" t="s">
        <v>1508</v>
      </c>
    </row>
    <row r="576" ht="13.5" customHeight="1">
      <c r="B576" s="54"/>
      <c r="C576" s="38"/>
      <c r="D576" s="55"/>
      <c r="E576" s="56"/>
      <c r="F576" s="55"/>
      <c r="G576" s="55"/>
      <c r="H576" s="56"/>
      <c r="J576" s="57" t="str">
        <f t="shared" si="1"/>
        <v>LaraMoránMoran</v>
      </c>
      <c r="K576" s="50" t="s">
        <v>208</v>
      </c>
      <c r="L576" s="50" t="s">
        <v>209</v>
      </c>
      <c r="M576" s="50" t="s">
        <v>1497</v>
      </c>
      <c r="N576" s="50" t="s">
        <v>497</v>
      </c>
      <c r="O576" s="50" t="s">
        <v>1509</v>
      </c>
      <c r="P576" s="50" t="s">
        <v>1510</v>
      </c>
    </row>
    <row r="577" ht="13.5" customHeight="1">
      <c r="B577" s="54"/>
      <c r="C577" s="38"/>
      <c r="D577" s="55"/>
      <c r="E577" s="56"/>
      <c r="F577" s="55"/>
      <c r="G577" s="55"/>
      <c r="H577" s="56"/>
      <c r="J577" s="57" t="str">
        <f t="shared" si="1"/>
        <v>LaraPalavecinoCabudare</v>
      </c>
      <c r="K577" s="50" t="s">
        <v>208</v>
      </c>
      <c r="L577" s="50" t="s">
        <v>209</v>
      </c>
      <c r="M577" s="50" t="s">
        <v>1511</v>
      </c>
      <c r="N577" s="50" t="s">
        <v>506</v>
      </c>
      <c r="O577" s="50" t="s">
        <v>1512</v>
      </c>
      <c r="P577" s="50" t="s">
        <v>1513</v>
      </c>
    </row>
    <row r="578" ht="13.5" customHeight="1">
      <c r="B578" s="54"/>
      <c r="C578" s="38"/>
      <c r="D578" s="55"/>
      <c r="E578" s="56"/>
      <c r="F578" s="55"/>
      <c r="G578" s="55"/>
      <c r="H578" s="56"/>
      <c r="J578" s="57" t="str">
        <f t="shared" si="1"/>
        <v>LaraPalavecinoJosé Gregorio Bastidas</v>
      </c>
      <c r="K578" s="50" t="s">
        <v>208</v>
      </c>
      <c r="L578" s="50" t="s">
        <v>209</v>
      </c>
      <c r="M578" s="50" t="s">
        <v>1511</v>
      </c>
      <c r="N578" s="50" t="s">
        <v>506</v>
      </c>
      <c r="O578" s="50" t="s">
        <v>1514</v>
      </c>
      <c r="P578" s="50" t="s">
        <v>1515</v>
      </c>
    </row>
    <row r="579" ht="13.5" customHeight="1">
      <c r="B579" s="54"/>
      <c r="C579" s="38"/>
      <c r="D579" s="55"/>
      <c r="E579" s="56"/>
      <c r="F579" s="55"/>
      <c r="G579" s="55"/>
      <c r="H579" s="56"/>
      <c r="J579" s="57" t="str">
        <f t="shared" si="1"/>
        <v>LaraPalavecinoAgua Viva</v>
      </c>
      <c r="K579" s="50" t="s">
        <v>208</v>
      </c>
      <c r="L579" s="50" t="s">
        <v>209</v>
      </c>
      <c r="M579" s="50" t="s">
        <v>1511</v>
      </c>
      <c r="N579" s="50" t="s">
        <v>506</v>
      </c>
      <c r="O579" s="50" t="s">
        <v>1516</v>
      </c>
      <c r="P579" s="50" t="s">
        <v>1517</v>
      </c>
    </row>
    <row r="580" ht="13.5" customHeight="1">
      <c r="B580" s="54"/>
      <c r="C580" s="38"/>
      <c r="D580" s="55"/>
      <c r="E580" s="56"/>
      <c r="F580" s="55"/>
      <c r="G580" s="55"/>
      <c r="H580" s="56"/>
      <c r="J580" s="57" t="str">
        <f t="shared" si="1"/>
        <v>LaraSimón PlanasSarare</v>
      </c>
      <c r="K580" s="50" t="s">
        <v>208</v>
      </c>
      <c r="L580" s="50" t="s">
        <v>209</v>
      </c>
      <c r="M580" s="50" t="s">
        <v>1518</v>
      </c>
      <c r="N580" s="50" t="s">
        <v>515</v>
      </c>
      <c r="O580" s="50" t="s">
        <v>1519</v>
      </c>
      <c r="P580" s="50" t="s">
        <v>1520</v>
      </c>
    </row>
    <row r="581" ht="13.5" customHeight="1">
      <c r="B581" s="54"/>
      <c r="C581" s="38"/>
      <c r="D581" s="55"/>
      <c r="E581" s="56"/>
      <c r="F581" s="55"/>
      <c r="G581" s="55"/>
      <c r="H581" s="56"/>
      <c r="J581" s="57" t="str">
        <f t="shared" si="1"/>
        <v>LaraSimón PlanasBuria</v>
      </c>
      <c r="K581" s="50" t="s">
        <v>208</v>
      </c>
      <c r="L581" s="50" t="s">
        <v>209</v>
      </c>
      <c r="M581" s="50" t="s">
        <v>1518</v>
      </c>
      <c r="N581" s="50" t="s">
        <v>515</v>
      </c>
      <c r="O581" s="50" t="s">
        <v>1521</v>
      </c>
      <c r="P581" s="50" t="s">
        <v>1522</v>
      </c>
    </row>
    <row r="582" ht="13.5" customHeight="1">
      <c r="B582" s="54"/>
      <c r="C582" s="38"/>
      <c r="D582" s="55"/>
      <c r="E582" s="56"/>
      <c r="F582" s="55"/>
      <c r="G582" s="55"/>
      <c r="H582" s="56"/>
      <c r="J582" s="57" t="str">
        <f t="shared" si="1"/>
        <v>LaraSimón PlanasGustavo Vegas León</v>
      </c>
      <c r="K582" s="50" t="s">
        <v>208</v>
      </c>
      <c r="L582" s="50" t="s">
        <v>209</v>
      </c>
      <c r="M582" s="50" t="s">
        <v>1518</v>
      </c>
      <c r="N582" s="50" t="s">
        <v>515</v>
      </c>
      <c r="O582" s="50" t="s">
        <v>1523</v>
      </c>
      <c r="P582" s="50" t="s">
        <v>1524</v>
      </c>
    </row>
    <row r="583" ht="13.5" customHeight="1">
      <c r="B583" s="54"/>
      <c r="C583" s="38"/>
      <c r="D583" s="55"/>
      <c r="E583" s="56"/>
      <c r="F583" s="55"/>
      <c r="G583" s="55"/>
      <c r="H583" s="56"/>
      <c r="J583" s="57" t="str">
        <f t="shared" si="1"/>
        <v>LaraTorresTrinidad Samuel</v>
      </c>
      <c r="K583" s="50" t="s">
        <v>208</v>
      </c>
      <c r="L583" s="50" t="s">
        <v>209</v>
      </c>
      <c r="M583" s="50" t="s">
        <v>1525</v>
      </c>
      <c r="N583" s="50" t="s">
        <v>524</v>
      </c>
      <c r="O583" s="50" t="s">
        <v>1526</v>
      </c>
      <c r="P583" s="50" t="s">
        <v>1527</v>
      </c>
    </row>
    <row r="584" ht="13.5" customHeight="1">
      <c r="B584" s="54"/>
      <c r="C584" s="38"/>
      <c r="D584" s="55"/>
      <c r="E584" s="56"/>
      <c r="F584" s="55"/>
      <c r="G584" s="55"/>
      <c r="H584" s="56"/>
      <c r="J584" s="57" t="str">
        <f t="shared" si="1"/>
        <v>LaraTorresAntonio Díaz</v>
      </c>
      <c r="K584" s="50" t="s">
        <v>208</v>
      </c>
      <c r="L584" s="50" t="s">
        <v>209</v>
      </c>
      <c r="M584" s="50" t="s">
        <v>1525</v>
      </c>
      <c r="N584" s="50" t="s">
        <v>524</v>
      </c>
      <c r="O584" s="50" t="s">
        <v>1528</v>
      </c>
      <c r="P584" s="50" t="s">
        <v>455</v>
      </c>
    </row>
    <row r="585" ht="13.5" customHeight="1">
      <c r="B585" s="54"/>
      <c r="C585" s="38"/>
      <c r="D585" s="55"/>
      <c r="E585" s="56"/>
      <c r="F585" s="55"/>
      <c r="G585" s="55"/>
      <c r="H585" s="56"/>
      <c r="J585" s="57" t="str">
        <f t="shared" si="1"/>
        <v>LaraTorresReyes Vargas</v>
      </c>
      <c r="K585" s="50" t="s">
        <v>208</v>
      </c>
      <c r="L585" s="50" t="s">
        <v>209</v>
      </c>
      <c r="M585" s="50" t="s">
        <v>1525</v>
      </c>
      <c r="N585" s="50" t="s">
        <v>524</v>
      </c>
      <c r="O585" s="50" t="s">
        <v>1529</v>
      </c>
      <c r="P585" s="50" t="s">
        <v>1530</v>
      </c>
    </row>
    <row r="586" ht="13.5" customHeight="1">
      <c r="B586" s="54"/>
      <c r="C586" s="38"/>
      <c r="D586" s="55"/>
      <c r="E586" s="56"/>
      <c r="F586" s="55"/>
      <c r="G586" s="55"/>
      <c r="H586" s="56"/>
      <c r="J586" s="57" t="str">
        <f t="shared" si="1"/>
        <v>LaraTorresCastañeda</v>
      </c>
      <c r="K586" s="50" t="s">
        <v>208</v>
      </c>
      <c r="L586" s="50" t="s">
        <v>209</v>
      </c>
      <c r="M586" s="50" t="s">
        <v>1525</v>
      </c>
      <c r="N586" s="50" t="s">
        <v>524</v>
      </c>
      <c r="O586" s="50" t="s">
        <v>1531</v>
      </c>
      <c r="P586" s="50" t="s">
        <v>1532</v>
      </c>
    </row>
    <row r="587" ht="13.5" customHeight="1">
      <c r="B587" s="54"/>
      <c r="C587" s="38"/>
      <c r="D587" s="55"/>
      <c r="E587" s="56"/>
      <c r="F587" s="55"/>
      <c r="G587" s="55"/>
      <c r="H587" s="56"/>
      <c r="J587" s="57" t="str">
        <f t="shared" si="1"/>
        <v>LaraTorresCecilio Zubillaga</v>
      </c>
      <c r="K587" s="50" t="s">
        <v>208</v>
      </c>
      <c r="L587" s="50" t="s">
        <v>209</v>
      </c>
      <c r="M587" s="50" t="s">
        <v>1525</v>
      </c>
      <c r="N587" s="50" t="s">
        <v>524</v>
      </c>
      <c r="O587" s="50" t="s">
        <v>1533</v>
      </c>
      <c r="P587" s="50" t="s">
        <v>1534</v>
      </c>
    </row>
    <row r="588" ht="13.5" customHeight="1">
      <c r="B588" s="54"/>
      <c r="C588" s="38"/>
      <c r="D588" s="55"/>
      <c r="E588" s="56"/>
      <c r="F588" s="55"/>
      <c r="G588" s="55"/>
      <c r="H588" s="56"/>
      <c r="J588" s="57" t="str">
        <f t="shared" si="1"/>
        <v>LaraTorresChiquinquira</v>
      </c>
      <c r="K588" s="50" t="s">
        <v>208</v>
      </c>
      <c r="L588" s="50" t="s">
        <v>209</v>
      </c>
      <c r="M588" s="50" t="s">
        <v>1525</v>
      </c>
      <c r="N588" s="50" t="s">
        <v>524</v>
      </c>
      <c r="O588" s="50" t="s">
        <v>1535</v>
      </c>
      <c r="P588" s="50" t="s">
        <v>1536</v>
      </c>
    </row>
    <row r="589" ht="13.5" customHeight="1">
      <c r="B589" s="54"/>
      <c r="C589" s="38"/>
      <c r="D589" s="55"/>
      <c r="E589" s="56"/>
      <c r="F589" s="55"/>
      <c r="G589" s="55"/>
      <c r="H589" s="56"/>
      <c r="J589" s="57" t="str">
        <f t="shared" si="1"/>
        <v>LaraTorresEl Blanco</v>
      </c>
      <c r="K589" s="50" t="s">
        <v>208</v>
      </c>
      <c r="L589" s="50" t="s">
        <v>209</v>
      </c>
      <c r="M589" s="50" t="s">
        <v>1525</v>
      </c>
      <c r="N589" s="50" t="s">
        <v>524</v>
      </c>
      <c r="O589" s="50" t="s">
        <v>1537</v>
      </c>
      <c r="P589" s="50" t="s">
        <v>1538</v>
      </c>
    </row>
    <row r="590" ht="13.5" customHeight="1">
      <c r="B590" s="54"/>
      <c r="C590" s="38"/>
      <c r="D590" s="55"/>
      <c r="E590" s="56"/>
      <c r="F590" s="55"/>
      <c r="G590" s="55"/>
      <c r="H590" s="56"/>
      <c r="J590" s="57" t="str">
        <f t="shared" si="1"/>
        <v>LaraTorresEspinoza De Los Monteros</v>
      </c>
      <c r="K590" s="50" t="s">
        <v>208</v>
      </c>
      <c r="L590" s="50" t="s">
        <v>209</v>
      </c>
      <c r="M590" s="50" t="s">
        <v>1525</v>
      </c>
      <c r="N590" s="50" t="s">
        <v>524</v>
      </c>
      <c r="O590" s="50" t="s">
        <v>1539</v>
      </c>
      <c r="P590" s="50" t="s">
        <v>1540</v>
      </c>
    </row>
    <row r="591" ht="13.5" customHeight="1">
      <c r="B591" s="54"/>
      <c r="C591" s="38"/>
      <c r="D591" s="55"/>
      <c r="E591" s="56"/>
      <c r="F591" s="55"/>
      <c r="G591" s="55"/>
      <c r="H591" s="56"/>
      <c r="J591" s="57" t="str">
        <f t="shared" si="1"/>
        <v>LaraTorresLara</v>
      </c>
      <c r="K591" s="50" t="s">
        <v>208</v>
      </c>
      <c r="L591" s="50" t="s">
        <v>209</v>
      </c>
      <c r="M591" s="50" t="s">
        <v>1525</v>
      </c>
      <c r="N591" s="50" t="s">
        <v>524</v>
      </c>
      <c r="O591" s="50" t="s">
        <v>1541</v>
      </c>
      <c r="P591" s="50" t="s">
        <v>209</v>
      </c>
    </row>
    <row r="592" ht="13.5" customHeight="1">
      <c r="B592" s="54"/>
      <c r="C592" s="38"/>
      <c r="D592" s="55"/>
      <c r="E592" s="56"/>
      <c r="F592" s="55"/>
      <c r="G592" s="55"/>
      <c r="H592" s="56"/>
      <c r="J592" s="57" t="str">
        <f t="shared" si="1"/>
        <v>LaraTorresLas Mercedes</v>
      </c>
      <c r="K592" s="50" t="s">
        <v>208</v>
      </c>
      <c r="L592" s="50" t="s">
        <v>209</v>
      </c>
      <c r="M592" s="50" t="s">
        <v>1525</v>
      </c>
      <c r="N592" s="50" t="s">
        <v>524</v>
      </c>
      <c r="O592" s="50" t="s">
        <v>1542</v>
      </c>
      <c r="P592" s="50" t="s">
        <v>513</v>
      </c>
    </row>
    <row r="593" ht="13.5" customHeight="1">
      <c r="B593" s="54"/>
      <c r="C593" s="38"/>
      <c r="D593" s="55"/>
      <c r="E593" s="56"/>
      <c r="F593" s="55"/>
      <c r="G593" s="55"/>
      <c r="H593" s="56"/>
      <c r="J593" s="57" t="str">
        <f t="shared" si="1"/>
        <v>LaraTorresManuel Morillo</v>
      </c>
      <c r="K593" s="50" t="s">
        <v>208</v>
      </c>
      <c r="L593" s="50" t="s">
        <v>209</v>
      </c>
      <c r="M593" s="50" t="s">
        <v>1525</v>
      </c>
      <c r="N593" s="50" t="s">
        <v>524</v>
      </c>
      <c r="O593" s="50" t="s">
        <v>1543</v>
      </c>
      <c r="P593" s="50" t="s">
        <v>1544</v>
      </c>
    </row>
    <row r="594" ht="13.5" customHeight="1">
      <c r="B594" s="54"/>
      <c r="C594" s="38"/>
      <c r="D594" s="55"/>
      <c r="E594" s="56"/>
      <c r="F594" s="55"/>
      <c r="G594" s="55"/>
      <c r="H594" s="56"/>
      <c r="J594" s="57" t="str">
        <f t="shared" si="1"/>
        <v>LaraTorresMontaña Verde</v>
      </c>
      <c r="K594" s="50" t="s">
        <v>208</v>
      </c>
      <c r="L594" s="50" t="s">
        <v>209</v>
      </c>
      <c r="M594" s="50" t="s">
        <v>1525</v>
      </c>
      <c r="N594" s="50" t="s">
        <v>524</v>
      </c>
      <c r="O594" s="50" t="s">
        <v>1545</v>
      </c>
      <c r="P594" s="50" t="s">
        <v>1546</v>
      </c>
    </row>
    <row r="595" ht="13.5" customHeight="1">
      <c r="B595" s="54"/>
      <c r="C595" s="38"/>
      <c r="D595" s="55"/>
      <c r="E595" s="56"/>
      <c r="F595" s="55"/>
      <c r="G595" s="55"/>
      <c r="H595" s="56"/>
      <c r="J595" s="57" t="str">
        <f t="shared" si="1"/>
        <v>LaraTorresMontes De Oca</v>
      </c>
      <c r="K595" s="50" t="s">
        <v>208</v>
      </c>
      <c r="L595" s="50" t="s">
        <v>209</v>
      </c>
      <c r="M595" s="50" t="s">
        <v>1525</v>
      </c>
      <c r="N595" s="50" t="s">
        <v>524</v>
      </c>
      <c r="O595" s="50" t="s">
        <v>1547</v>
      </c>
      <c r="P595" s="50" t="s">
        <v>1548</v>
      </c>
    </row>
    <row r="596" ht="13.5" customHeight="1">
      <c r="B596" s="54"/>
      <c r="C596" s="38"/>
      <c r="D596" s="55"/>
      <c r="E596" s="56"/>
      <c r="F596" s="55"/>
      <c r="G596" s="55"/>
      <c r="H596" s="56"/>
      <c r="J596" s="57" t="str">
        <f t="shared" si="1"/>
        <v>LaraTorresTorres</v>
      </c>
      <c r="K596" s="50" t="s">
        <v>208</v>
      </c>
      <c r="L596" s="50" t="s">
        <v>209</v>
      </c>
      <c r="M596" s="50" t="s">
        <v>1525</v>
      </c>
      <c r="N596" s="50" t="s">
        <v>524</v>
      </c>
      <c r="O596" s="50" t="s">
        <v>1549</v>
      </c>
      <c r="P596" s="50" t="s">
        <v>524</v>
      </c>
    </row>
    <row r="597" ht="13.5" customHeight="1">
      <c r="B597" s="54"/>
      <c r="C597" s="38"/>
      <c r="D597" s="55"/>
      <c r="E597" s="56"/>
      <c r="F597" s="55"/>
      <c r="G597" s="55"/>
      <c r="H597" s="56"/>
      <c r="J597" s="57" t="str">
        <f t="shared" si="1"/>
        <v>LaraTorresCamacaro</v>
      </c>
      <c r="K597" s="50" t="s">
        <v>208</v>
      </c>
      <c r="L597" s="50" t="s">
        <v>209</v>
      </c>
      <c r="M597" s="50" t="s">
        <v>1525</v>
      </c>
      <c r="N597" s="50" t="s">
        <v>524</v>
      </c>
      <c r="O597" s="50" t="s">
        <v>1550</v>
      </c>
      <c r="P597" s="50" t="s">
        <v>1551</v>
      </c>
    </row>
    <row r="598" ht="13.5" customHeight="1">
      <c r="B598" s="54"/>
      <c r="C598" s="38"/>
      <c r="D598" s="55"/>
      <c r="E598" s="56"/>
      <c r="F598" s="55"/>
      <c r="G598" s="55"/>
      <c r="H598" s="56"/>
      <c r="J598" s="57" t="str">
        <f t="shared" si="1"/>
        <v>LaraTorresAltagracia</v>
      </c>
      <c r="K598" s="50" t="s">
        <v>208</v>
      </c>
      <c r="L598" s="50" t="s">
        <v>209</v>
      </c>
      <c r="M598" s="50" t="s">
        <v>1525</v>
      </c>
      <c r="N598" s="50" t="s">
        <v>524</v>
      </c>
      <c r="O598" s="50" t="s">
        <v>1552</v>
      </c>
      <c r="P598" s="50" t="s">
        <v>36</v>
      </c>
    </row>
    <row r="599" ht="13.5" customHeight="1">
      <c r="B599" s="54"/>
      <c r="C599" s="38"/>
      <c r="D599" s="55"/>
      <c r="E599" s="56"/>
      <c r="F599" s="55"/>
      <c r="G599" s="55"/>
      <c r="H599" s="56"/>
      <c r="J599" s="57" t="str">
        <f t="shared" si="1"/>
        <v>LaraUrdanetaSiquisique</v>
      </c>
      <c r="K599" s="50" t="s">
        <v>208</v>
      </c>
      <c r="L599" s="50" t="s">
        <v>209</v>
      </c>
      <c r="M599" s="50" t="s">
        <v>1553</v>
      </c>
      <c r="N599" s="50" t="s">
        <v>434</v>
      </c>
      <c r="O599" s="50" t="s">
        <v>1554</v>
      </c>
      <c r="P599" s="50" t="s">
        <v>1555</v>
      </c>
    </row>
    <row r="600" ht="13.5" customHeight="1">
      <c r="B600" s="54"/>
      <c r="C600" s="38"/>
      <c r="D600" s="55"/>
      <c r="E600" s="56"/>
      <c r="F600" s="55"/>
      <c r="G600" s="55"/>
      <c r="H600" s="56"/>
      <c r="J600" s="57" t="str">
        <f t="shared" si="1"/>
        <v>LaraUrdanetaMoroturo</v>
      </c>
      <c r="K600" s="50" t="s">
        <v>208</v>
      </c>
      <c r="L600" s="50" t="s">
        <v>209</v>
      </c>
      <c r="M600" s="50" t="s">
        <v>1553</v>
      </c>
      <c r="N600" s="50" t="s">
        <v>434</v>
      </c>
      <c r="O600" s="50" t="s">
        <v>1556</v>
      </c>
      <c r="P600" s="50" t="s">
        <v>1557</v>
      </c>
    </row>
    <row r="601" ht="13.5" customHeight="1">
      <c r="B601" s="54"/>
      <c r="C601" s="38"/>
      <c r="D601" s="55"/>
      <c r="E601" s="56"/>
      <c r="F601" s="55"/>
      <c r="G601" s="55"/>
      <c r="H601" s="56"/>
      <c r="J601" s="57" t="str">
        <f t="shared" si="1"/>
        <v>LaraUrdanetaSan Miguel</v>
      </c>
      <c r="K601" s="50" t="s">
        <v>208</v>
      </c>
      <c r="L601" s="50" t="s">
        <v>209</v>
      </c>
      <c r="M601" s="50" t="s">
        <v>1553</v>
      </c>
      <c r="N601" s="50" t="s">
        <v>434</v>
      </c>
      <c r="O601" s="50" t="s">
        <v>1558</v>
      </c>
      <c r="P601" s="50" t="s">
        <v>436</v>
      </c>
    </row>
    <row r="602" ht="13.5" customHeight="1">
      <c r="B602" s="54"/>
      <c r="C602" s="38"/>
      <c r="D602" s="55"/>
      <c r="E602" s="56"/>
      <c r="F602" s="55"/>
      <c r="G602" s="55"/>
      <c r="H602" s="56"/>
      <c r="J602" s="57" t="str">
        <f t="shared" si="1"/>
        <v>LaraUrdanetaXaguas</v>
      </c>
      <c r="K602" s="50" t="s">
        <v>208</v>
      </c>
      <c r="L602" s="50" t="s">
        <v>209</v>
      </c>
      <c r="M602" s="50" t="s">
        <v>1553</v>
      </c>
      <c r="N602" s="50" t="s">
        <v>434</v>
      </c>
      <c r="O602" s="50" t="s">
        <v>1559</v>
      </c>
      <c r="P602" s="50" t="s">
        <v>1560</v>
      </c>
    </row>
    <row r="603" ht="13.5" customHeight="1">
      <c r="B603" s="54"/>
      <c r="C603" s="38"/>
      <c r="D603" s="55"/>
      <c r="E603" s="56"/>
      <c r="F603" s="55"/>
      <c r="G603" s="55"/>
      <c r="H603" s="56"/>
      <c r="J603" s="57" t="str">
        <f t="shared" si="1"/>
        <v>MéridaAlberto AdrianiPresidente Betancourt</v>
      </c>
      <c r="K603" s="50" t="s">
        <v>220</v>
      </c>
      <c r="L603" s="50" t="s">
        <v>221</v>
      </c>
      <c r="M603" s="50" t="s">
        <v>1561</v>
      </c>
      <c r="N603" s="50" t="s">
        <v>1562</v>
      </c>
      <c r="O603" s="50" t="s">
        <v>1563</v>
      </c>
      <c r="P603" s="50" t="s">
        <v>1564</v>
      </c>
    </row>
    <row r="604" ht="13.5" customHeight="1">
      <c r="B604" s="54"/>
      <c r="C604" s="38"/>
      <c r="D604" s="55"/>
      <c r="E604" s="56"/>
      <c r="F604" s="55"/>
      <c r="G604" s="55"/>
      <c r="H604" s="56"/>
      <c r="J604" s="57" t="str">
        <f t="shared" si="1"/>
        <v>MéridaAlberto AdrianiPresidente Páez</v>
      </c>
      <c r="K604" s="50" t="s">
        <v>220</v>
      </c>
      <c r="L604" s="50" t="s">
        <v>221</v>
      </c>
      <c r="M604" s="50" t="s">
        <v>1561</v>
      </c>
      <c r="N604" s="50" t="s">
        <v>1562</v>
      </c>
      <c r="O604" s="50" t="s">
        <v>1565</v>
      </c>
      <c r="P604" s="50" t="s">
        <v>1566</v>
      </c>
    </row>
    <row r="605" ht="13.5" customHeight="1">
      <c r="B605" s="54"/>
      <c r="C605" s="38"/>
      <c r="D605" s="55"/>
      <c r="E605" s="56"/>
      <c r="F605" s="55"/>
      <c r="G605" s="55"/>
      <c r="H605" s="56"/>
      <c r="J605" s="57" t="str">
        <f t="shared" si="1"/>
        <v>MéridaAlberto AdrianiPresidente Rómulo Gallegos</v>
      </c>
      <c r="K605" s="50" t="s">
        <v>220</v>
      </c>
      <c r="L605" s="50" t="s">
        <v>221</v>
      </c>
      <c r="M605" s="50" t="s">
        <v>1561</v>
      </c>
      <c r="N605" s="50" t="s">
        <v>1562</v>
      </c>
      <c r="O605" s="50" t="s">
        <v>1567</v>
      </c>
      <c r="P605" s="50" t="s">
        <v>1568</v>
      </c>
    </row>
    <row r="606" ht="13.5" customHeight="1">
      <c r="B606" s="54"/>
      <c r="C606" s="38"/>
      <c r="D606" s="55"/>
      <c r="E606" s="56"/>
      <c r="F606" s="55"/>
      <c r="G606" s="55"/>
      <c r="H606" s="56"/>
      <c r="J606" s="57" t="str">
        <f t="shared" si="1"/>
        <v>MéridaAlberto AdrianiGabriel Picón González</v>
      </c>
      <c r="K606" s="50" t="s">
        <v>220</v>
      </c>
      <c r="L606" s="50" t="s">
        <v>221</v>
      </c>
      <c r="M606" s="50" t="s">
        <v>1561</v>
      </c>
      <c r="N606" s="50" t="s">
        <v>1562</v>
      </c>
      <c r="O606" s="50" t="s">
        <v>1569</v>
      </c>
      <c r="P606" s="50" t="s">
        <v>1570</v>
      </c>
    </row>
    <row r="607" ht="13.5" customHeight="1">
      <c r="B607" s="54"/>
      <c r="C607" s="38"/>
      <c r="D607" s="55"/>
      <c r="E607" s="56"/>
      <c r="F607" s="55"/>
      <c r="G607" s="55"/>
      <c r="H607" s="56"/>
      <c r="J607" s="57" t="str">
        <f t="shared" si="1"/>
        <v>MéridaAlberto AdrianiHéctor Amable Mora</v>
      </c>
      <c r="K607" s="50" t="s">
        <v>220</v>
      </c>
      <c r="L607" s="50" t="s">
        <v>221</v>
      </c>
      <c r="M607" s="50" t="s">
        <v>1561</v>
      </c>
      <c r="N607" s="50" t="s">
        <v>1562</v>
      </c>
      <c r="O607" s="50" t="s">
        <v>1571</v>
      </c>
      <c r="P607" s="50" t="s">
        <v>1572</v>
      </c>
    </row>
    <row r="608" ht="13.5" customHeight="1">
      <c r="B608" s="54"/>
      <c r="C608" s="38"/>
      <c r="D608" s="55"/>
      <c r="E608" s="56"/>
      <c r="F608" s="55"/>
      <c r="G608" s="55"/>
      <c r="H608" s="56"/>
      <c r="J608" s="57" t="str">
        <f t="shared" si="1"/>
        <v>MéridaAlberto AdrianiJosé Nucete Sardi</v>
      </c>
      <c r="K608" s="50" t="s">
        <v>220</v>
      </c>
      <c r="L608" s="50" t="s">
        <v>221</v>
      </c>
      <c r="M608" s="50" t="s">
        <v>1561</v>
      </c>
      <c r="N608" s="50" t="s">
        <v>1562</v>
      </c>
      <c r="O608" s="50" t="s">
        <v>1573</v>
      </c>
      <c r="P608" s="50" t="s">
        <v>1574</v>
      </c>
    </row>
    <row r="609" ht="13.5" customHeight="1">
      <c r="B609" s="54"/>
      <c r="C609" s="38"/>
      <c r="D609" s="55"/>
      <c r="E609" s="56"/>
      <c r="F609" s="55"/>
      <c r="G609" s="55"/>
      <c r="H609" s="56"/>
      <c r="J609" s="57" t="str">
        <f t="shared" si="1"/>
        <v>MéridaAlberto AdrianiPulido Méndez</v>
      </c>
      <c r="K609" s="50" t="s">
        <v>220</v>
      </c>
      <c r="L609" s="50" t="s">
        <v>221</v>
      </c>
      <c r="M609" s="50" t="s">
        <v>1561</v>
      </c>
      <c r="N609" s="50" t="s">
        <v>1562</v>
      </c>
      <c r="O609" s="50" t="s">
        <v>1575</v>
      </c>
      <c r="P609" s="50" t="s">
        <v>1576</v>
      </c>
    </row>
    <row r="610" ht="13.5" customHeight="1">
      <c r="B610" s="54"/>
      <c r="C610" s="38"/>
      <c r="D610" s="55"/>
      <c r="E610" s="56"/>
      <c r="F610" s="55"/>
      <c r="G610" s="55"/>
      <c r="H610" s="56"/>
      <c r="J610" s="57" t="str">
        <f t="shared" si="1"/>
        <v>MéridaAndrés BelloAndrés Bello</v>
      </c>
      <c r="K610" s="50" t="s">
        <v>220</v>
      </c>
      <c r="L610" s="50" t="s">
        <v>221</v>
      </c>
      <c r="M610" s="50" t="s">
        <v>1577</v>
      </c>
      <c r="N610" s="50" t="s">
        <v>464</v>
      </c>
      <c r="O610" s="50" t="s">
        <v>1578</v>
      </c>
      <c r="P610" s="50" t="s">
        <v>464</v>
      </c>
    </row>
    <row r="611" ht="13.5" customHeight="1">
      <c r="B611" s="54"/>
      <c r="C611" s="38"/>
      <c r="D611" s="55"/>
      <c r="E611" s="56"/>
      <c r="F611" s="55"/>
      <c r="G611" s="55"/>
      <c r="H611" s="56"/>
      <c r="J611" s="57" t="str">
        <f t="shared" si="1"/>
        <v>MéridaAntonio Pinto SalinasCapital Pinto Salinas</v>
      </c>
      <c r="K611" s="50" t="s">
        <v>220</v>
      </c>
      <c r="L611" s="50" t="s">
        <v>221</v>
      </c>
      <c r="M611" s="50" t="s">
        <v>1579</v>
      </c>
      <c r="N611" s="50" t="s">
        <v>1580</v>
      </c>
      <c r="O611" s="50" t="s">
        <v>1581</v>
      </c>
      <c r="P611" s="50" t="s">
        <v>1582</v>
      </c>
    </row>
    <row r="612" ht="13.5" customHeight="1">
      <c r="B612" s="54"/>
      <c r="C612" s="38"/>
      <c r="D612" s="55"/>
      <c r="E612" s="56"/>
      <c r="F612" s="55"/>
      <c r="G612" s="55"/>
      <c r="H612" s="56"/>
      <c r="J612" s="57" t="str">
        <f t="shared" si="1"/>
        <v>MéridaAntonio Pinto SalinasMesa De Bolívar</v>
      </c>
      <c r="K612" s="50" t="s">
        <v>220</v>
      </c>
      <c r="L612" s="50" t="s">
        <v>221</v>
      </c>
      <c r="M612" s="50" t="s">
        <v>1579</v>
      </c>
      <c r="N612" s="50" t="s">
        <v>1580</v>
      </c>
      <c r="O612" s="50" t="s">
        <v>1583</v>
      </c>
      <c r="P612" s="50" t="s">
        <v>1584</v>
      </c>
    </row>
    <row r="613" ht="13.5" customHeight="1">
      <c r="B613" s="54"/>
      <c r="C613" s="38"/>
      <c r="D613" s="55"/>
      <c r="E613" s="56"/>
      <c r="F613" s="55"/>
      <c r="G613" s="55"/>
      <c r="H613" s="56"/>
      <c r="J613" s="57" t="str">
        <f t="shared" si="1"/>
        <v>MéridaAntonio Pinto SalinasMesa De Las Palmas</v>
      </c>
      <c r="K613" s="50" t="s">
        <v>220</v>
      </c>
      <c r="L613" s="50" t="s">
        <v>221</v>
      </c>
      <c r="M613" s="50" t="s">
        <v>1579</v>
      </c>
      <c r="N613" s="50" t="s">
        <v>1580</v>
      </c>
      <c r="O613" s="50" t="s">
        <v>1585</v>
      </c>
      <c r="P613" s="50" t="s">
        <v>1586</v>
      </c>
    </row>
    <row r="614" ht="13.5" customHeight="1">
      <c r="B614" s="54"/>
      <c r="C614" s="38"/>
      <c r="D614" s="55"/>
      <c r="E614" s="56"/>
      <c r="F614" s="55"/>
      <c r="G614" s="55"/>
      <c r="H614" s="56"/>
      <c r="J614" s="57" t="str">
        <f t="shared" si="1"/>
        <v>MéridaAricaguaCapital Aricagua</v>
      </c>
      <c r="K614" s="50" t="s">
        <v>220</v>
      </c>
      <c r="L614" s="50" t="s">
        <v>221</v>
      </c>
      <c r="M614" s="50" t="s">
        <v>1587</v>
      </c>
      <c r="N614" s="50" t="s">
        <v>1588</v>
      </c>
      <c r="O614" s="50" t="s">
        <v>1589</v>
      </c>
      <c r="P614" s="50" t="s">
        <v>1590</v>
      </c>
    </row>
    <row r="615" ht="13.5" customHeight="1">
      <c r="B615" s="54"/>
      <c r="C615" s="38"/>
      <c r="D615" s="55"/>
      <c r="E615" s="56"/>
      <c r="F615" s="55"/>
      <c r="G615" s="55"/>
      <c r="H615" s="56"/>
      <c r="J615" s="57" t="str">
        <f t="shared" si="1"/>
        <v>MéridaAricaguaSan Antonio</v>
      </c>
      <c r="K615" s="50" t="s">
        <v>220</v>
      </c>
      <c r="L615" s="50" t="s">
        <v>221</v>
      </c>
      <c r="M615" s="50" t="s">
        <v>1587</v>
      </c>
      <c r="N615" s="50" t="s">
        <v>1588</v>
      </c>
      <c r="O615" s="50" t="s">
        <v>1591</v>
      </c>
      <c r="P615" s="50" t="s">
        <v>827</v>
      </c>
    </row>
    <row r="616" ht="13.5" customHeight="1">
      <c r="B616" s="54"/>
      <c r="C616" s="38"/>
      <c r="D616" s="55"/>
      <c r="E616" s="56"/>
      <c r="F616" s="55"/>
      <c r="G616" s="55"/>
      <c r="H616" s="56"/>
      <c r="J616" s="57" t="str">
        <f t="shared" si="1"/>
        <v>MéridaArzobispo ChacónCapital Arzobispo Chacón</v>
      </c>
      <c r="K616" s="50" t="s">
        <v>220</v>
      </c>
      <c r="L616" s="50" t="s">
        <v>221</v>
      </c>
      <c r="M616" s="50" t="s">
        <v>1592</v>
      </c>
      <c r="N616" s="50" t="s">
        <v>1593</v>
      </c>
      <c r="O616" s="50" t="s">
        <v>1594</v>
      </c>
      <c r="P616" s="50" t="s">
        <v>1595</v>
      </c>
    </row>
    <row r="617" ht="13.5" customHeight="1">
      <c r="B617" s="54"/>
      <c r="C617" s="38"/>
      <c r="D617" s="55"/>
      <c r="E617" s="56"/>
      <c r="F617" s="55"/>
      <c r="G617" s="55"/>
      <c r="H617" s="56"/>
      <c r="J617" s="57" t="str">
        <f t="shared" si="1"/>
        <v>MéridaArzobispo ChacónCapuri</v>
      </c>
      <c r="K617" s="50" t="s">
        <v>220</v>
      </c>
      <c r="L617" s="50" t="s">
        <v>221</v>
      </c>
      <c r="M617" s="50" t="s">
        <v>1592</v>
      </c>
      <c r="N617" s="50" t="s">
        <v>1593</v>
      </c>
      <c r="O617" s="50" t="s">
        <v>1596</v>
      </c>
      <c r="P617" s="50" t="s">
        <v>1597</v>
      </c>
    </row>
    <row r="618" ht="13.5" customHeight="1">
      <c r="B618" s="54"/>
      <c r="C618" s="38"/>
      <c r="D618" s="55"/>
      <c r="E618" s="56"/>
      <c r="F618" s="55"/>
      <c r="G618" s="55"/>
      <c r="H618" s="56"/>
      <c r="J618" s="57" t="str">
        <f t="shared" si="1"/>
        <v>MéridaArzobispo ChacónChacanta</v>
      </c>
      <c r="K618" s="50" t="s">
        <v>220</v>
      </c>
      <c r="L618" s="50" t="s">
        <v>221</v>
      </c>
      <c r="M618" s="50" t="s">
        <v>1592</v>
      </c>
      <c r="N618" s="50" t="s">
        <v>1593</v>
      </c>
      <c r="O618" s="50" t="s">
        <v>1598</v>
      </c>
      <c r="P618" s="50" t="s">
        <v>1599</v>
      </c>
    </row>
    <row r="619" ht="13.5" customHeight="1">
      <c r="B619" s="54"/>
      <c r="C619" s="38"/>
      <c r="D619" s="55"/>
      <c r="E619" s="56"/>
      <c r="F619" s="55"/>
      <c r="G619" s="55"/>
      <c r="H619" s="56"/>
      <c r="J619" s="57" t="str">
        <f t="shared" si="1"/>
        <v>MéridaArzobispo ChacónEl Molino</v>
      </c>
      <c r="K619" s="50" t="s">
        <v>220</v>
      </c>
      <c r="L619" s="50" t="s">
        <v>221</v>
      </c>
      <c r="M619" s="50" t="s">
        <v>1592</v>
      </c>
      <c r="N619" s="50" t="s">
        <v>1593</v>
      </c>
      <c r="O619" s="50" t="s">
        <v>1600</v>
      </c>
      <c r="P619" s="50" t="s">
        <v>1601</v>
      </c>
    </row>
    <row r="620" ht="13.5" customHeight="1">
      <c r="B620" s="54"/>
      <c r="C620" s="38"/>
      <c r="D620" s="55"/>
      <c r="E620" s="56"/>
      <c r="F620" s="55"/>
      <c r="G620" s="55"/>
      <c r="H620" s="56"/>
      <c r="J620" s="57" t="str">
        <f t="shared" si="1"/>
        <v>MéridaArzobispo ChacónGuaimaral</v>
      </c>
      <c r="K620" s="50" t="s">
        <v>220</v>
      </c>
      <c r="L620" s="50" t="s">
        <v>221</v>
      </c>
      <c r="M620" s="50" t="s">
        <v>1592</v>
      </c>
      <c r="N620" s="50" t="s">
        <v>1593</v>
      </c>
      <c r="O620" s="50" t="s">
        <v>1602</v>
      </c>
      <c r="P620" s="50" t="s">
        <v>1603</v>
      </c>
    </row>
    <row r="621" ht="13.5" customHeight="1">
      <c r="B621" s="54"/>
      <c r="C621" s="38"/>
      <c r="D621" s="55"/>
      <c r="E621" s="56"/>
      <c r="F621" s="55"/>
      <c r="G621" s="55"/>
      <c r="H621" s="56"/>
      <c r="J621" s="57" t="str">
        <f t="shared" si="1"/>
        <v>MéridaArzobispo ChacónMucutuy</v>
      </c>
      <c r="K621" s="50" t="s">
        <v>220</v>
      </c>
      <c r="L621" s="50" t="s">
        <v>221</v>
      </c>
      <c r="M621" s="50" t="s">
        <v>1592</v>
      </c>
      <c r="N621" s="50" t="s">
        <v>1593</v>
      </c>
      <c r="O621" s="50" t="s">
        <v>1604</v>
      </c>
      <c r="P621" s="50" t="s">
        <v>1605</v>
      </c>
    </row>
    <row r="622" ht="13.5" customHeight="1">
      <c r="B622" s="54"/>
      <c r="C622" s="38"/>
      <c r="D622" s="55"/>
      <c r="E622" s="56"/>
      <c r="F622" s="55"/>
      <c r="G622" s="55"/>
      <c r="H622" s="56"/>
      <c r="J622" s="57" t="str">
        <f t="shared" si="1"/>
        <v>MéridaArzobispo ChacónMucuchachi</v>
      </c>
      <c r="K622" s="50" t="s">
        <v>220</v>
      </c>
      <c r="L622" s="50" t="s">
        <v>221</v>
      </c>
      <c r="M622" s="50" t="s">
        <v>1592</v>
      </c>
      <c r="N622" s="50" t="s">
        <v>1593</v>
      </c>
      <c r="O622" s="50" t="s">
        <v>1606</v>
      </c>
      <c r="P622" s="50" t="s">
        <v>1607</v>
      </c>
    </row>
    <row r="623" ht="13.5" customHeight="1">
      <c r="B623" s="54"/>
      <c r="C623" s="38"/>
      <c r="D623" s="55"/>
      <c r="E623" s="56"/>
      <c r="F623" s="55"/>
      <c r="G623" s="55"/>
      <c r="H623" s="56"/>
      <c r="J623" s="57" t="str">
        <f t="shared" si="1"/>
        <v>MéridaCampo ElíasFernández Peña</v>
      </c>
      <c r="K623" s="50" t="s">
        <v>220</v>
      </c>
      <c r="L623" s="50" t="s">
        <v>221</v>
      </c>
      <c r="M623" s="50" t="s">
        <v>1608</v>
      </c>
      <c r="N623" s="50" t="s">
        <v>1609</v>
      </c>
      <c r="O623" s="50" t="s">
        <v>1610</v>
      </c>
      <c r="P623" s="50" t="s">
        <v>1611</v>
      </c>
    </row>
    <row r="624" ht="13.5" customHeight="1">
      <c r="B624" s="54"/>
      <c r="C624" s="38"/>
      <c r="D624" s="55"/>
      <c r="E624" s="56"/>
      <c r="F624" s="55"/>
      <c r="G624" s="55"/>
      <c r="H624" s="56"/>
      <c r="J624" s="57" t="str">
        <f t="shared" si="1"/>
        <v>MéridaCampo ElíasMatriz</v>
      </c>
      <c r="K624" s="50" t="s">
        <v>220</v>
      </c>
      <c r="L624" s="50" t="s">
        <v>221</v>
      </c>
      <c r="M624" s="50" t="s">
        <v>1608</v>
      </c>
      <c r="N624" s="50" t="s">
        <v>1609</v>
      </c>
      <c r="O624" s="50" t="s">
        <v>1612</v>
      </c>
      <c r="P624" s="50" t="s">
        <v>1613</v>
      </c>
    </row>
    <row r="625" ht="13.5" customHeight="1">
      <c r="B625" s="54"/>
      <c r="C625" s="38"/>
      <c r="D625" s="55"/>
      <c r="E625" s="56"/>
      <c r="F625" s="55"/>
      <c r="G625" s="55"/>
      <c r="H625" s="56"/>
      <c r="J625" s="57" t="str">
        <f t="shared" si="1"/>
        <v>MéridaCampo ElíasMontalbán</v>
      </c>
      <c r="K625" s="50" t="s">
        <v>220</v>
      </c>
      <c r="L625" s="50" t="s">
        <v>221</v>
      </c>
      <c r="M625" s="50" t="s">
        <v>1608</v>
      </c>
      <c r="N625" s="50" t="s">
        <v>1609</v>
      </c>
      <c r="O625" s="50" t="s">
        <v>1614</v>
      </c>
      <c r="P625" s="50" t="s">
        <v>536</v>
      </c>
    </row>
    <row r="626" ht="13.5" customHeight="1">
      <c r="B626" s="54"/>
      <c r="C626" s="38"/>
      <c r="D626" s="55"/>
      <c r="E626" s="56"/>
      <c r="F626" s="55"/>
      <c r="G626" s="55"/>
      <c r="H626" s="56"/>
      <c r="J626" s="57" t="str">
        <f t="shared" si="1"/>
        <v>MéridaCampo ElíasAcequias</v>
      </c>
      <c r="K626" s="50" t="s">
        <v>220</v>
      </c>
      <c r="L626" s="50" t="s">
        <v>221</v>
      </c>
      <c r="M626" s="50" t="s">
        <v>1608</v>
      </c>
      <c r="N626" s="50" t="s">
        <v>1609</v>
      </c>
      <c r="O626" s="50" t="s">
        <v>1615</v>
      </c>
      <c r="P626" s="50" t="s">
        <v>1616</v>
      </c>
    </row>
    <row r="627" ht="13.5" customHeight="1">
      <c r="B627" s="54"/>
      <c r="C627" s="38"/>
      <c r="D627" s="55"/>
      <c r="E627" s="56"/>
      <c r="F627" s="55"/>
      <c r="G627" s="55"/>
      <c r="H627" s="56"/>
      <c r="J627" s="57" t="str">
        <f t="shared" si="1"/>
        <v>MéridaCampo ElíasJaji</v>
      </c>
      <c r="K627" s="50" t="s">
        <v>220</v>
      </c>
      <c r="L627" s="50" t="s">
        <v>221</v>
      </c>
      <c r="M627" s="50" t="s">
        <v>1608</v>
      </c>
      <c r="N627" s="50" t="s">
        <v>1609</v>
      </c>
      <c r="O627" s="50" t="s">
        <v>1617</v>
      </c>
      <c r="P627" s="50" t="s">
        <v>1618</v>
      </c>
    </row>
    <row r="628" ht="13.5" customHeight="1">
      <c r="B628" s="54"/>
      <c r="C628" s="38"/>
      <c r="D628" s="55"/>
      <c r="E628" s="56"/>
      <c r="F628" s="55"/>
      <c r="G628" s="55"/>
      <c r="H628" s="56"/>
      <c r="J628" s="57" t="str">
        <f t="shared" si="1"/>
        <v>MéridaCampo ElíasLa Mesa</v>
      </c>
      <c r="K628" s="50" t="s">
        <v>220</v>
      </c>
      <c r="L628" s="50" t="s">
        <v>221</v>
      </c>
      <c r="M628" s="50" t="s">
        <v>1608</v>
      </c>
      <c r="N628" s="50" t="s">
        <v>1609</v>
      </c>
      <c r="O628" s="50" t="s">
        <v>1619</v>
      </c>
      <c r="P628" s="50" t="s">
        <v>1620</v>
      </c>
    </row>
    <row r="629" ht="13.5" customHeight="1">
      <c r="B629" s="54"/>
      <c r="C629" s="38"/>
      <c r="D629" s="55"/>
      <c r="E629" s="56"/>
      <c r="F629" s="55"/>
      <c r="G629" s="55"/>
      <c r="H629" s="56"/>
      <c r="J629" s="57" t="str">
        <f t="shared" si="1"/>
        <v>MéridaCampo ElíasSan José Del Sur</v>
      </c>
      <c r="K629" s="50" t="s">
        <v>220</v>
      </c>
      <c r="L629" s="50" t="s">
        <v>221</v>
      </c>
      <c r="M629" s="50" t="s">
        <v>1608</v>
      </c>
      <c r="N629" s="50" t="s">
        <v>1609</v>
      </c>
      <c r="O629" s="50" t="s">
        <v>1621</v>
      </c>
      <c r="P629" s="50" t="s">
        <v>1622</v>
      </c>
    </row>
    <row r="630" ht="13.5" customHeight="1">
      <c r="B630" s="54"/>
      <c r="C630" s="38"/>
      <c r="D630" s="55"/>
      <c r="E630" s="56"/>
      <c r="F630" s="55"/>
      <c r="G630" s="55"/>
      <c r="H630" s="56"/>
      <c r="J630" s="57" t="str">
        <f t="shared" si="1"/>
        <v>MéridaCaracciolo Parra OlmedoCapital Caracciolo Parra Olmedo</v>
      </c>
      <c r="K630" s="50" t="s">
        <v>220</v>
      </c>
      <c r="L630" s="50" t="s">
        <v>221</v>
      </c>
      <c r="M630" s="50" t="s">
        <v>1623</v>
      </c>
      <c r="N630" s="50" t="s">
        <v>1624</v>
      </c>
      <c r="O630" s="50" t="s">
        <v>1625</v>
      </c>
      <c r="P630" s="50" t="s">
        <v>1626</v>
      </c>
    </row>
    <row r="631" ht="13.5" customHeight="1">
      <c r="B631" s="54"/>
      <c r="C631" s="38"/>
      <c r="D631" s="55"/>
      <c r="E631" s="56"/>
      <c r="F631" s="55"/>
      <c r="G631" s="55"/>
      <c r="H631" s="56"/>
      <c r="J631" s="57" t="str">
        <f t="shared" si="1"/>
        <v>MéridaCaracciolo Parra OlmedoFlorencio Ramírez</v>
      </c>
      <c r="K631" s="50" t="s">
        <v>220</v>
      </c>
      <c r="L631" s="50" t="s">
        <v>221</v>
      </c>
      <c r="M631" s="50" t="s">
        <v>1623</v>
      </c>
      <c r="N631" s="50" t="s">
        <v>1624</v>
      </c>
      <c r="O631" s="50" t="s">
        <v>1627</v>
      </c>
      <c r="P631" s="50" t="s">
        <v>1628</v>
      </c>
    </row>
    <row r="632" ht="13.5" customHeight="1">
      <c r="B632" s="54"/>
      <c r="C632" s="38"/>
      <c r="D632" s="55"/>
      <c r="E632" s="56"/>
      <c r="F632" s="55"/>
      <c r="G632" s="55"/>
      <c r="H632" s="56"/>
      <c r="J632" s="57" t="str">
        <f t="shared" si="1"/>
        <v>MéridaCardenal QuinteroCapital Cardenal Quintero</v>
      </c>
      <c r="K632" s="50" t="s">
        <v>220</v>
      </c>
      <c r="L632" s="50" t="s">
        <v>221</v>
      </c>
      <c r="M632" s="50" t="s">
        <v>1629</v>
      </c>
      <c r="N632" s="50" t="s">
        <v>1630</v>
      </c>
      <c r="O632" s="50" t="s">
        <v>1631</v>
      </c>
      <c r="P632" s="50" t="s">
        <v>1632</v>
      </c>
    </row>
    <row r="633" ht="13.5" customHeight="1">
      <c r="B633" s="54"/>
      <c r="C633" s="38"/>
      <c r="D633" s="55"/>
      <c r="E633" s="56"/>
      <c r="F633" s="55"/>
      <c r="G633" s="55"/>
      <c r="H633" s="56"/>
      <c r="J633" s="57" t="str">
        <f t="shared" si="1"/>
        <v>MéridaCardenal QuinteroLas Piedras</v>
      </c>
      <c r="K633" s="50" t="s">
        <v>220</v>
      </c>
      <c r="L633" s="50" t="s">
        <v>221</v>
      </c>
      <c r="M633" s="50" t="s">
        <v>1629</v>
      </c>
      <c r="N633" s="50" t="s">
        <v>1630</v>
      </c>
      <c r="O633" s="50" t="s">
        <v>1633</v>
      </c>
      <c r="P633" s="50" t="s">
        <v>1634</v>
      </c>
    </row>
    <row r="634" ht="13.5" customHeight="1">
      <c r="B634" s="54"/>
      <c r="C634" s="38"/>
      <c r="D634" s="55"/>
      <c r="E634" s="56"/>
      <c r="F634" s="55"/>
      <c r="G634" s="55"/>
      <c r="H634" s="56"/>
      <c r="J634" s="57" t="str">
        <f t="shared" si="1"/>
        <v>MéridaGuaraqueCapital Guaraque</v>
      </c>
      <c r="K634" s="50" t="s">
        <v>220</v>
      </c>
      <c r="L634" s="50" t="s">
        <v>221</v>
      </c>
      <c r="M634" s="50" t="s">
        <v>1635</v>
      </c>
      <c r="N634" s="50" t="s">
        <v>1636</v>
      </c>
      <c r="O634" s="50" t="s">
        <v>1637</v>
      </c>
      <c r="P634" s="50" t="s">
        <v>1638</v>
      </c>
    </row>
    <row r="635" ht="13.5" customHeight="1">
      <c r="B635" s="54"/>
      <c r="C635" s="38"/>
      <c r="D635" s="55"/>
      <c r="E635" s="56"/>
      <c r="F635" s="55"/>
      <c r="G635" s="55"/>
      <c r="H635" s="56"/>
      <c r="J635" s="57" t="str">
        <f t="shared" si="1"/>
        <v>MéridaGuaraqueMesa De Quintero</v>
      </c>
      <c r="K635" s="50" t="s">
        <v>220</v>
      </c>
      <c r="L635" s="50" t="s">
        <v>221</v>
      </c>
      <c r="M635" s="50" t="s">
        <v>1635</v>
      </c>
      <c r="N635" s="50" t="s">
        <v>1636</v>
      </c>
      <c r="O635" s="50" t="s">
        <v>1639</v>
      </c>
      <c r="P635" s="50" t="s">
        <v>1640</v>
      </c>
    </row>
    <row r="636" ht="13.5" customHeight="1">
      <c r="B636" s="54"/>
      <c r="C636" s="38"/>
      <c r="D636" s="55"/>
      <c r="E636" s="56"/>
      <c r="F636" s="55"/>
      <c r="G636" s="55"/>
      <c r="H636" s="56"/>
      <c r="J636" s="57" t="str">
        <f t="shared" si="1"/>
        <v>MéridaGuaraqueRio Negro</v>
      </c>
      <c r="K636" s="50" t="s">
        <v>220</v>
      </c>
      <c r="L636" s="50" t="s">
        <v>221</v>
      </c>
      <c r="M636" s="50" t="s">
        <v>1635</v>
      </c>
      <c r="N636" s="50" t="s">
        <v>1636</v>
      </c>
      <c r="O636" s="50" t="s">
        <v>1641</v>
      </c>
      <c r="P636" s="50" t="s">
        <v>1642</v>
      </c>
    </row>
    <row r="637" ht="13.5" customHeight="1">
      <c r="B637" s="54"/>
      <c r="C637" s="38"/>
      <c r="D637" s="55"/>
      <c r="E637" s="56"/>
      <c r="F637" s="55"/>
      <c r="G637" s="55"/>
      <c r="H637" s="56"/>
      <c r="J637" s="57" t="str">
        <f t="shared" si="1"/>
        <v>MéridaJulio Cesar SalaPalmira</v>
      </c>
      <c r="K637" s="50" t="s">
        <v>220</v>
      </c>
      <c r="L637" s="50" t="s">
        <v>221</v>
      </c>
      <c r="M637" s="50" t="s">
        <v>1643</v>
      </c>
      <c r="N637" s="50" t="s">
        <v>1644</v>
      </c>
      <c r="O637" s="50" t="s">
        <v>1645</v>
      </c>
      <c r="P637" s="50" t="s">
        <v>1646</v>
      </c>
    </row>
    <row r="638" ht="13.5" customHeight="1">
      <c r="B638" s="54"/>
      <c r="C638" s="38"/>
      <c r="D638" s="55"/>
      <c r="E638" s="56"/>
      <c r="F638" s="55"/>
      <c r="G638" s="55"/>
      <c r="H638" s="56"/>
      <c r="J638" s="57" t="str">
        <f t="shared" si="1"/>
        <v>MéridaJusto BriceñoCapital Justo Briceño</v>
      </c>
      <c r="K638" s="50" t="s">
        <v>220</v>
      </c>
      <c r="L638" s="50" t="s">
        <v>221</v>
      </c>
      <c r="M638" s="50" t="s">
        <v>1647</v>
      </c>
      <c r="N638" s="50" t="s">
        <v>1648</v>
      </c>
      <c r="O638" s="50" t="s">
        <v>1649</v>
      </c>
      <c r="P638" s="50" t="s">
        <v>1650</v>
      </c>
    </row>
    <row r="639" ht="13.5" customHeight="1">
      <c r="B639" s="54"/>
      <c r="C639" s="38"/>
      <c r="D639" s="55"/>
      <c r="E639" s="56"/>
      <c r="F639" s="55"/>
      <c r="G639" s="55"/>
      <c r="H639" s="56"/>
      <c r="J639" s="57" t="str">
        <f t="shared" si="1"/>
        <v>MéridaJusto BriceñoSan Cristóbal De Torondoy</v>
      </c>
      <c r="K639" s="50" t="s">
        <v>220</v>
      </c>
      <c r="L639" s="50" t="s">
        <v>221</v>
      </c>
      <c r="M639" s="50" t="s">
        <v>1647</v>
      </c>
      <c r="N639" s="50" t="s">
        <v>1648</v>
      </c>
      <c r="O639" s="50" t="s">
        <v>1651</v>
      </c>
      <c r="P639" s="50" t="s">
        <v>1652</v>
      </c>
    </row>
    <row r="640" ht="13.5" customHeight="1">
      <c r="B640" s="54"/>
      <c r="C640" s="38"/>
      <c r="D640" s="55"/>
      <c r="E640" s="56"/>
      <c r="F640" s="55"/>
      <c r="G640" s="55"/>
      <c r="H640" s="56"/>
      <c r="J640" s="57" t="str">
        <f t="shared" si="1"/>
        <v>MéridaLibertadorAntonio Spinetti Dini</v>
      </c>
      <c r="K640" s="50" t="s">
        <v>220</v>
      </c>
      <c r="L640" s="50" t="s">
        <v>221</v>
      </c>
      <c r="M640" s="50" t="s">
        <v>1653</v>
      </c>
      <c r="N640" s="50" t="s">
        <v>34</v>
      </c>
      <c r="O640" s="50" t="s">
        <v>1654</v>
      </c>
      <c r="P640" s="50" t="s">
        <v>1655</v>
      </c>
    </row>
    <row r="641" ht="13.5" customHeight="1">
      <c r="B641" s="54"/>
      <c r="C641" s="38"/>
      <c r="D641" s="55"/>
      <c r="E641" s="56"/>
      <c r="F641" s="55"/>
      <c r="G641" s="55"/>
      <c r="H641" s="56"/>
      <c r="J641" s="57" t="str">
        <f t="shared" si="1"/>
        <v>MéridaLibertadorArias</v>
      </c>
      <c r="K641" s="50" t="s">
        <v>220</v>
      </c>
      <c r="L641" s="50" t="s">
        <v>221</v>
      </c>
      <c r="M641" s="50" t="s">
        <v>1653</v>
      </c>
      <c r="N641" s="50" t="s">
        <v>34</v>
      </c>
      <c r="O641" s="50" t="s">
        <v>1656</v>
      </c>
      <c r="P641" s="50" t="s">
        <v>1657</v>
      </c>
    </row>
    <row r="642" ht="13.5" customHeight="1">
      <c r="B642" s="54"/>
      <c r="C642" s="38"/>
      <c r="D642" s="55"/>
      <c r="E642" s="56"/>
      <c r="F642" s="55"/>
      <c r="G642" s="55"/>
      <c r="H642" s="56"/>
      <c r="J642" s="57" t="str">
        <f t="shared" si="1"/>
        <v>MéridaLibertadorCaracciolo Parra Perez</v>
      </c>
      <c r="K642" s="50" t="s">
        <v>220</v>
      </c>
      <c r="L642" s="50" t="s">
        <v>221</v>
      </c>
      <c r="M642" s="50" t="s">
        <v>1653</v>
      </c>
      <c r="N642" s="50" t="s">
        <v>34</v>
      </c>
      <c r="O642" s="50" t="s">
        <v>1658</v>
      </c>
      <c r="P642" s="50" t="s">
        <v>1659</v>
      </c>
    </row>
    <row r="643" ht="13.5" customHeight="1">
      <c r="B643" s="54"/>
      <c r="C643" s="38"/>
      <c r="D643" s="55"/>
      <c r="E643" s="56"/>
      <c r="F643" s="55"/>
      <c r="G643" s="55"/>
      <c r="H643" s="56"/>
      <c r="J643" s="57" t="str">
        <f t="shared" si="1"/>
        <v>MéridaLibertadorDomingo Peña</v>
      </c>
      <c r="K643" s="50" t="s">
        <v>220</v>
      </c>
      <c r="L643" s="50" t="s">
        <v>221</v>
      </c>
      <c r="M643" s="50" t="s">
        <v>1653</v>
      </c>
      <c r="N643" s="50" t="s">
        <v>34</v>
      </c>
      <c r="O643" s="50" t="s">
        <v>1660</v>
      </c>
      <c r="P643" s="50" t="s">
        <v>1661</v>
      </c>
    </row>
    <row r="644" ht="13.5" customHeight="1">
      <c r="B644" s="54"/>
      <c r="C644" s="38"/>
      <c r="D644" s="55"/>
      <c r="E644" s="56"/>
      <c r="F644" s="55"/>
      <c r="G644" s="55"/>
      <c r="H644" s="56"/>
      <c r="J644" s="57" t="str">
        <f t="shared" si="1"/>
        <v>MéridaLibertadorEl Llano</v>
      </c>
      <c r="K644" s="50" t="s">
        <v>220</v>
      </c>
      <c r="L644" s="50" t="s">
        <v>221</v>
      </c>
      <c r="M644" s="50" t="s">
        <v>1653</v>
      </c>
      <c r="N644" s="50" t="s">
        <v>34</v>
      </c>
      <c r="O644" s="50" t="s">
        <v>1662</v>
      </c>
      <c r="P644" s="50" t="s">
        <v>1663</v>
      </c>
    </row>
    <row r="645" ht="13.5" customHeight="1">
      <c r="B645" s="54"/>
      <c r="C645" s="38"/>
      <c r="D645" s="55"/>
      <c r="E645" s="56"/>
      <c r="F645" s="55"/>
      <c r="G645" s="55"/>
      <c r="H645" s="56"/>
      <c r="J645" s="57" t="str">
        <f t="shared" si="1"/>
        <v>MéridaLibertadorGonzalo Picón Febres</v>
      </c>
      <c r="K645" s="50" t="s">
        <v>220</v>
      </c>
      <c r="L645" s="50" t="s">
        <v>221</v>
      </c>
      <c r="M645" s="50" t="s">
        <v>1653</v>
      </c>
      <c r="N645" s="50" t="s">
        <v>34</v>
      </c>
      <c r="O645" s="50" t="s">
        <v>1664</v>
      </c>
      <c r="P645" s="50" t="s">
        <v>1665</v>
      </c>
    </row>
    <row r="646" ht="13.5" customHeight="1">
      <c r="B646" s="54"/>
      <c r="C646" s="38"/>
      <c r="D646" s="55"/>
      <c r="E646" s="56"/>
      <c r="F646" s="55"/>
      <c r="G646" s="55"/>
      <c r="H646" s="56"/>
      <c r="J646" s="57" t="str">
        <f t="shared" si="1"/>
        <v>MéridaLibertadorJacinto Plaza</v>
      </c>
      <c r="K646" s="50" t="s">
        <v>220</v>
      </c>
      <c r="L646" s="50" t="s">
        <v>221</v>
      </c>
      <c r="M646" s="50" t="s">
        <v>1653</v>
      </c>
      <c r="N646" s="50" t="s">
        <v>34</v>
      </c>
      <c r="O646" s="50" t="s">
        <v>1666</v>
      </c>
      <c r="P646" s="50" t="s">
        <v>1667</v>
      </c>
    </row>
    <row r="647" ht="13.5" customHeight="1">
      <c r="B647" s="54"/>
      <c r="C647" s="38"/>
      <c r="D647" s="55"/>
      <c r="E647" s="56"/>
      <c r="F647" s="55"/>
      <c r="G647" s="55"/>
      <c r="H647" s="56"/>
      <c r="J647" s="57" t="str">
        <f t="shared" si="1"/>
        <v>MéridaLibertadorJuan Rodríguez Suarez</v>
      </c>
      <c r="K647" s="50" t="s">
        <v>220</v>
      </c>
      <c r="L647" s="50" t="s">
        <v>221</v>
      </c>
      <c r="M647" s="50" t="s">
        <v>1653</v>
      </c>
      <c r="N647" s="50" t="s">
        <v>34</v>
      </c>
      <c r="O647" s="50" t="s">
        <v>1668</v>
      </c>
      <c r="P647" s="50" t="s">
        <v>1669</v>
      </c>
    </row>
    <row r="648" ht="13.5" customHeight="1">
      <c r="B648" s="54"/>
      <c r="C648" s="38"/>
      <c r="D648" s="55"/>
      <c r="E648" s="56"/>
      <c r="F648" s="55"/>
      <c r="G648" s="55"/>
      <c r="H648" s="56"/>
      <c r="J648" s="57" t="str">
        <f t="shared" si="1"/>
        <v>MéridaLibertadorLasso De La Vega</v>
      </c>
      <c r="K648" s="50" t="s">
        <v>220</v>
      </c>
      <c r="L648" s="50" t="s">
        <v>221</v>
      </c>
      <c r="M648" s="50" t="s">
        <v>1653</v>
      </c>
      <c r="N648" s="50" t="s">
        <v>34</v>
      </c>
      <c r="O648" s="50" t="s">
        <v>1670</v>
      </c>
      <c r="P648" s="50" t="s">
        <v>1671</v>
      </c>
    </row>
    <row r="649" ht="13.5" customHeight="1">
      <c r="B649" s="54"/>
      <c r="C649" s="38"/>
      <c r="D649" s="55"/>
      <c r="E649" s="56"/>
      <c r="F649" s="55"/>
      <c r="G649" s="55"/>
      <c r="H649" s="56"/>
      <c r="J649" s="57" t="str">
        <f t="shared" si="1"/>
        <v>MéridaLibertadorMariano Picón Salas</v>
      </c>
      <c r="K649" s="50" t="s">
        <v>220</v>
      </c>
      <c r="L649" s="50" t="s">
        <v>221</v>
      </c>
      <c r="M649" s="50" t="s">
        <v>1653</v>
      </c>
      <c r="N649" s="50" t="s">
        <v>34</v>
      </c>
      <c r="O649" s="50" t="s">
        <v>1672</v>
      </c>
      <c r="P649" s="50" t="s">
        <v>1673</v>
      </c>
    </row>
    <row r="650" ht="13.5" customHeight="1">
      <c r="B650" s="54"/>
      <c r="C650" s="38"/>
      <c r="D650" s="55"/>
      <c r="E650" s="56"/>
      <c r="F650" s="55"/>
      <c r="G650" s="55"/>
      <c r="H650" s="56"/>
      <c r="J650" s="57" t="str">
        <f t="shared" si="1"/>
        <v>MéridaLibertadorMilla</v>
      </c>
      <c r="K650" s="50" t="s">
        <v>220</v>
      </c>
      <c r="L650" s="50" t="s">
        <v>221</v>
      </c>
      <c r="M650" s="50" t="s">
        <v>1653</v>
      </c>
      <c r="N650" s="50" t="s">
        <v>34</v>
      </c>
      <c r="O650" s="50" t="s">
        <v>1674</v>
      </c>
      <c r="P650" s="50" t="s">
        <v>1675</v>
      </c>
    </row>
    <row r="651" ht="13.5" customHeight="1">
      <c r="B651" s="54"/>
      <c r="C651" s="38"/>
      <c r="D651" s="55"/>
      <c r="E651" s="56"/>
      <c r="F651" s="55"/>
      <c r="G651" s="55"/>
      <c r="H651" s="56"/>
      <c r="J651" s="57" t="str">
        <f t="shared" si="1"/>
        <v>MéridaLibertadorOsuna Rodríguez</v>
      </c>
      <c r="K651" s="50" t="s">
        <v>220</v>
      </c>
      <c r="L651" s="50" t="s">
        <v>221</v>
      </c>
      <c r="M651" s="50" t="s">
        <v>1653</v>
      </c>
      <c r="N651" s="50" t="s">
        <v>34</v>
      </c>
      <c r="O651" s="50" t="s">
        <v>1676</v>
      </c>
      <c r="P651" s="50" t="s">
        <v>1677</v>
      </c>
    </row>
    <row r="652" ht="13.5" customHeight="1">
      <c r="B652" s="54"/>
      <c r="C652" s="38"/>
      <c r="D652" s="55"/>
      <c r="E652" s="56"/>
      <c r="F652" s="55"/>
      <c r="G652" s="55"/>
      <c r="H652" s="56"/>
      <c r="J652" s="57" t="str">
        <f t="shared" si="1"/>
        <v>MéridaLibertadorSagrario</v>
      </c>
      <c r="K652" s="50" t="s">
        <v>220</v>
      </c>
      <c r="L652" s="50" t="s">
        <v>221</v>
      </c>
      <c r="M652" s="50" t="s">
        <v>1653</v>
      </c>
      <c r="N652" s="50" t="s">
        <v>34</v>
      </c>
      <c r="O652" s="50" t="s">
        <v>1678</v>
      </c>
      <c r="P652" s="50" t="s">
        <v>1679</v>
      </c>
    </row>
    <row r="653" ht="13.5" customHeight="1">
      <c r="B653" s="54"/>
      <c r="C653" s="38"/>
      <c r="D653" s="55"/>
      <c r="E653" s="56"/>
      <c r="F653" s="55"/>
      <c r="G653" s="55"/>
      <c r="H653" s="56"/>
      <c r="J653" s="57" t="str">
        <f t="shared" si="1"/>
        <v>MéridaLibertadorEl Morro</v>
      </c>
      <c r="K653" s="50" t="s">
        <v>220</v>
      </c>
      <c r="L653" s="50" t="s">
        <v>221</v>
      </c>
      <c r="M653" s="50" t="s">
        <v>1653</v>
      </c>
      <c r="N653" s="50" t="s">
        <v>34</v>
      </c>
      <c r="O653" s="50" t="s">
        <v>1680</v>
      </c>
      <c r="P653" s="50" t="s">
        <v>671</v>
      </c>
    </row>
    <row r="654" ht="13.5" customHeight="1">
      <c r="B654" s="54"/>
      <c r="C654" s="38"/>
      <c r="D654" s="55"/>
      <c r="E654" s="56"/>
      <c r="F654" s="55"/>
      <c r="G654" s="55"/>
      <c r="H654" s="56"/>
      <c r="J654" s="57" t="str">
        <f t="shared" si="1"/>
        <v>MéridaLibertadorLos Nevados</v>
      </c>
      <c r="K654" s="50" t="s">
        <v>220</v>
      </c>
      <c r="L654" s="50" t="s">
        <v>221</v>
      </c>
      <c r="M654" s="50" t="s">
        <v>1653</v>
      </c>
      <c r="N654" s="50" t="s">
        <v>34</v>
      </c>
      <c r="O654" s="50" t="s">
        <v>1681</v>
      </c>
      <c r="P654" s="50" t="s">
        <v>1682</v>
      </c>
    </row>
    <row r="655" ht="13.5" customHeight="1">
      <c r="B655" s="54"/>
      <c r="C655" s="38"/>
      <c r="D655" s="55"/>
      <c r="E655" s="56"/>
      <c r="F655" s="55"/>
      <c r="G655" s="55"/>
      <c r="H655" s="56"/>
      <c r="J655" s="57" t="str">
        <f t="shared" si="1"/>
        <v>MéridaMirandaCapital Miranda</v>
      </c>
      <c r="K655" s="50" t="s">
        <v>220</v>
      </c>
      <c r="L655" s="50" t="s">
        <v>221</v>
      </c>
      <c r="M655" s="50" t="s">
        <v>1683</v>
      </c>
      <c r="N655" s="50" t="s">
        <v>232</v>
      </c>
      <c r="O655" s="50" t="s">
        <v>1684</v>
      </c>
      <c r="P655" s="50" t="s">
        <v>1685</v>
      </c>
    </row>
    <row r="656" ht="13.5" customHeight="1">
      <c r="B656" s="54"/>
      <c r="C656" s="38"/>
      <c r="D656" s="55"/>
      <c r="E656" s="56"/>
      <c r="F656" s="55"/>
      <c r="G656" s="55"/>
      <c r="H656" s="56"/>
      <c r="J656" s="57" t="str">
        <f t="shared" si="1"/>
        <v>MéridaMirandaAndrés Eloy Blanco</v>
      </c>
      <c r="K656" s="50" t="s">
        <v>220</v>
      </c>
      <c r="L656" s="50" t="s">
        <v>221</v>
      </c>
      <c r="M656" s="50" t="s">
        <v>1683</v>
      </c>
      <c r="N656" s="50" t="s">
        <v>232</v>
      </c>
      <c r="O656" s="50" t="s">
        <v>1686</v>
      </c>
      <c r="P656" s="50" t="s">
        <v>456</v>
      </c>
    </row>
    <row r="657" ht="13.5" customHeight="1">
      <c r="B657" s="54"/>
      <c r="C657" s="38"/>
      <c r="D657" s="55"/>
      <c r="E657" s="56"/>
      <c r="F657" s="55"/>
      <c r="G657" s="55"/>
      <c r="H657" s="56"/>
      <c r="J657" s="57" t="str">
        <f t="shared" si="1"/>
        <v>MéridaMirandaLa Venta</v>
      </c>
      <c r="K657" s="50" t="s">
        <v>220</v>
      </c>
      <c r="L657" s="50" t="s">
        <v>221</v>
      </c>
      <c r="M657" s="50" t="s">
        <v>1683</v>
      </c>
      <c r="N657" s="50" t="s">
        <v>232</v>
      </c>
      <c r="O657" s="50" t="s">
        <v>1687</v>
      </c>
      <c r="P657" s="50" t="s">
        <v>1688</v>
      </c>
    </row>
    <row r="658" ht="13.5" customHeight="1">
      <c r="B658" s="54"/>
      <c r="C658" s="38"/>
      <c r="D658" s="55"/>
      <c r="E658" s="56"/>
      <c r="F658" s="55"/>
      <c r="G658" s="55"/>
      <c r="H658" s="56"/>
      <c r="J658" s="57" t="str">
        <f t="shared" si="1"/>
        <v>MéridaMirandaPiñango</v>
      </c>
      <c r="K658" s="50" t="s">
        <v>220</v>
      </c>
      <c r="L658" s="50" t="s">
        <v>221</v>
      </c>
      <c r="M658" s="50" t="s">
        <v>1683</v>
      </c>
      <c r="N658" s="50" t="s">
        <v>232</v>
      </c>
      <c r="O658" s="50" t="s">
        <v>1689</v>
      </c>
      <c r="P658" s="50" t="s">
        <v>1690</v>
      </c>
    </row>
    <row r="659" ht="13.5" customHeight="1">
      <c r="B659" s="54"/>
      <c r="C659" s="38"/>
      <c r="D659" s="55"/>
      <c r="E659" s="56"/>
      <c r="F659" s="55"/>
      <c r="G659" s="55"/>
      <c r="H659" s="56"/>
      <c r="J659" s="57" t="str">
        <f t="shared" si="1"/>
        <v>MéridaObispo Ramos De LoraCapital Obispo Ramos De Lora</v>
      </c>
      <c r="K659" s="50" t="s">
        <v>220</v>
      </c>
      <c r="L659" s="50" t="s">
        <v>221</v>
      </c>
      <c r="M659" s="50" t="s">
        <v>1691</v>
      </c>
      <c r="N659" s="50" t="s">
        <v>1692</v>
      </c>
      <c r="O659" s="50" t="s">
        <v>1693</v>
      </c>
      <c r="P659" s="50" t="s">
        <v>1694</v>
      </c>
    </row>
    <row r="660" ht="13.5" customHeight="1">
      <c r="B660" s="54"/>
      <c r="C660" s="38"/>
      <c r="D660" s="55"/>
      <c r="E660" s="56"/>
      <c r="F660" s="55"/>
      <c r="G660" s="55"/>
      <c r="H660" s="56"/>
      <c r="J660" s="57" t="str">
        <f t="shared" si="1"/>
        <v>MéridaObispo Ramos De LoraEloy Paredes</v>
      </c>
      <c r="K660" s="50" t="s">
        <v>220</v>
      </c>
      <c r="L660" s="50" t="s">
        <v>221</v>
      </c>
      <c r="M660" s="50" t="s">
        <v>1691</v>
      </c>
      <c r="N660" s="50" t="s">
        <v>1692</v>
      </c>
      <c r="O660" s="50" t="s">
        <v>1695</v>
      </c>
      <c r="P660" s="50" t="s">
        <v>1696</v>
      </c>
    </row>
    <row r="661" ht="13.5" customHeight="1">
      <c r="B661" s="54"/>
      <c r="C661" s="38"/>
      <c r="D661" s="55"/>
      <c r="E661" s="56"/>
      <c r="F661" s="55"/>
      <c r="G661" s="55"/>
      <c r="H661" s="56"/>
      <c r="J661" s="57" t="str">
        <f t="shared" si="1"/>
        <v>MéridaObispo Ramos De LoraSan Rafael De Alcázar</v>
      </c>
      <c r="K661" s="50" t="s">
        <v>220</v>
      </c>
      <c r="L661" s="50" t="s">
        <v>221</v>
      </c>
      <c r="M661" s="50" t="s">
        <v>1691</v>
      </c>
      <c r="N661" s="50" t="s">
        <v>1692</v>
      </c>
      <c r="O661" s="50" t="s">
        <v>1697</v>
      </c>
      <c r="P661" s="50" t="s">
        <v>1698</v>
      </c>
    </row>
    <row r="662" ht="13.5" customHeight="1">
      <c r="B662" s="54"/>
      <c r="C662" s="38"/>
      <c r="D662" s="55"/>
      <c r="E662" s="56"/>
      <c r="F662" s="55"/>
      <c r="G662" s="55"/>
      <c r="H662" s="56"/>
      <c r="J662" s="57" t="str">
        <f t="shared" si="1"/>
        <v>MéridaPadre NogueraPadre Noguera</v>
      </c>
      <c r="K662" s="50" t="s">
        <v>220</v>
      </c>
      <c r="L662" s="50" t="s">
        <v>221</v>
      </c>
      <c r="M662" s="50" t="s">
        <v>1699</v>
      </c>
      <c r="N662" s="50" t="s">
        <v>1700</v>
      </c>
      <c r="O662" s="50" t="s">
        <v>1701</v>
      </c>
      <c r="P662" s="50" t="s">
        <v>1700</v>
      </c>
    </row>
    <row r="663" ht="13.5" customHeight="1">
      <c r="B663" s="54"/>
      <c r="C663" s="38"/>
      <c r="D663" s="55"/>
      <c r="E663" s="56"/>
      <c r="F663" s="55"/>
      <c r="G663" s="55"/>
      <c r="H663" s="56"/>
      <c r="J663" s="57" t="str">
        <f t="shared" si="1"/>
        <v>MéridaPueblo LlanoPueblo Llano</v>
      </c>
      <c r="K663" s="50" t="s">
        <v>220</v>
      </c>
      <c r="L663" s="50" t="s">
        <v>221</v>
      </c>
      <c r="M663" s="50" t="s">
        <v>1702</v>
      </c>
      <c r="N663" s="50" t="s">
        <v>1703</v>
      </c>
      <c r="O663" s="50" t="s">
        <v>1704</v>
      </c>
      <c r="P663" s="50" t="s">
        <v>1703</v>
      </c>
    </row>
    <row r="664" ht="13.5" customHeight="1">
      <c r="B664" s="54"/>
      <c r="C664" s="38"/>
      <c r="D664" s="55"/>
      <c r="E664" s="56"/>
      <c r="F664" s="55"/>
      <c r="G664" s="55"/>
      <c r="H664" s="56"/>
      <c r="J664" s="57" t="str">
        <f t="shared" si="1"/>
        <v>MéridaRangelCapital Rangel</v>
      </c>
      <c r="K664" s="50" t="s">
        <v>220</v>
      </c>
      <c r="L664" s="50" t="s">
        <v>221</v>
      </c>
      <c r="M664" s="50" t="s">
        <v>1705</v>
      </c>
      <c r="N664" s="50" t="s">
        <v>1706</v>
      </c>
      <c r="O664" s="50" t="s">
        <v>1707</v>
      </c>
      <c r="P664" s="50" t="s">
        <v>1708</v>
      </c>
    </row>
    <row r="665" ht="13.5" customHeight="1">
      <c r="B665" s="54"/>
      <c r="C665" s="38"/>
      <c r="D665" s="55"/>
      <c r="E665" s="56"/>
      <c r="F665" s="55"/>
      <c r="G665" s="55"/>
      <c r="H665" s="56"/>
      <c r="J665" s="57" t="str">
        <f t="shared" si="1"/>
        <v>MéridaRangelCacute</v>
      </c>
      <c r="K665" s="50" t="s">
        <v>220</v>
      </c>
      <c r="L665" s="50" t="s">
        <v>221</v>
      </c>
      <c r="M665" s="50" t="s">
        <v>1705</v>
      </c>
      <c r="N665" s="50" t="s">
        <v>1706</v>
      </c>
      <c r="O665" s="50" t="s">
        <v>1709</v>
      </c>
      <c r="P665" s="50" t="s">
        <v>1710</v>
      </c>
    </row>
    <row r="666" ht="13.5" customHeight="1">
      <c r="B666" s="54"/>
      <c r="C666" s="38"/>
      <c r="D666" s="55"/>
      <c r="E666" s="56"/>
      <c r="F666" s="55"/>
      <c r="G666" s="55"/>
      <c r="H666" s="56"/>
      <c r="J666" s="57" t="str">
        <f t="shared" si="1"/>
        <v>MéridaRangelLa Toma</v>
      </c>
      <c r="K666" s="50" t="s">
        <v>220</v>
      </c>
      <c r="L666" s="50" t="s">
        <v>221</v>
      </c>
      <c r="M666" s="50" t="s">
        <v>1705</v>
      </c>
      <c r="N666" s="50" t="s">
        <v>1706</v>
      </c>
      <c r="O666" s="50" t="s">
        <v>1711</v>
      </c>
      <c r="P666" s="50" t="s">
        <v>1712</v>
      </c>
    </row>
    <row r="667" ht="13.5" customHeight="1">
      <c r="B667" s="54"/>
      <c r="C667" s="38"/>
      <c r="D667" s="55"/>
      <c r="E667" s="56"/>
      <c r="F667" s="55"/>
      <c r="G667" s="55"/>
      <c r="H667" s="56"/>
      <c r="J667" s="57" t="str">
        <f t="shared" si="1"/>
        <v>MéridaRangelMucuruba</v>
      </c>
      <c r="K667" s="50" t="s">
        <v>220</v>
      </c>
      <c r="L667" s="50" t="s">
        <v>221</v>
      </c>
      <c r="M667" s="50" t="s">
        <v>1705</v>
      </c>
      <c r="N667" s="50" t="s">
        <v>1706</v>
      </c>
      <c r="O667" s="50" t="s">
        <v>1713</v>
      </c>
      <c r="P667" s="50" t="s">
        <v>1714</v>
      </c>
    </row>
    <row r="668" ht="13.5" customHeight="1">
      <c r="B668" s="54"/>
      <c r="C668" s="38"/>
      <c r="D668" s="55"/>
      <c r="E668" s="56"/>
      <c r="F668" s="55"/>
      <c r="G668" s="55"/>
      <c r="H668" s="56"/>
      <c r="J668" s="57" t="str">
        <f t="shared" si="1"/>
        <v>MéridaRangelSan Rafael</v>
      </c>
      <c r="K668" s="50" t="s">
        <v>220</v>
      </c>
      <c r="L668" s="50" t="s">
        <v>221</v>
      </c>
      <c r="M668" s="50" t="s">
        <v>1705</v>
      </c>
      <c r="N668" s="50" t="s">
        <v>1706</v>
      </c>
      <c r="O668" s="50" t="s">
        <v>1715</v>
      </c>
      <c r="P668" s="50" t="s">
        <v>1174</v>
      </c>
    </row>
    <row r="669" ht="13.5" customHeight="1">
      <c r="B669" s="54"/>
      <c r="C669" s="38"/>
      <c r="D669" s="55"/>
      <c r="E669" s="56"/>
      <c r="F669" s="55"/>
      <c r="G669" s="55"/>
      <c r="H669" s="56"/>
      <c r="J669" s="57" t="str">
        <f t="shared" si="1"/>
        <v>MéridaRivas DávilaCapital Rivas Dávila</v>
      </c>
      <c r="K669" s="50" t="s">
        <v>220</v>
      </c>
      <c r="L669" s="50" t="s">
        <v>221</v>
      </c>
      <c r="M669" s="50" t="s">
        <v>1716</v>
      </c>
      <c r="N669" s="50" t="s">
        <v>1717</v>
      </c>
      <c r="O669" s="50" t="s">
        <v>1718</v>
      </c>
      <c r="P669" s="50" t="s">
        <v>1719</v>
      </c>
    </row>
    <row r="670" ht="13.5" customHeight="1">
      <c r="B670" s="54"/>
      <c r="C670" s="38"/>
      <c r="D670" s="55"/>
      <c r="E670" s="56"/>
      <c r="F670" s="55"/>
      <c r="G670" s="55"/>
      <c r="H670" s="56"/>
      <c r="J670" s="57" t="str">
        <f t="shared" si="1"/>
        <v>MéridaRivas DávilaGerónimo Maldonado</v>
      </c>
      <c r="K670" s="50" t="s">
        <v>220</v>
      </c>
      <c r="L670" s="50" t="s">
        <v>221</v>
      </c>
      <c r="M670" s="50" t="s">
        <v>1716</v>
      </c>
      <c r="N670" s="50" t="s">
        <v>1717</v>
      </c>
      <c r="O670" s="50" t="s">
        <v>1720</v>
      </c>
      <c r="P670" s="50" t="s">
        <v>1721</v>
      </c>
    </row>
    <row r="671" ht="13.5" customHeight="1">
      <c r="B671" s="54"/>
      <c r="C671" s="38"/>
      <c r="D671" s="55"/>
      <c r="E671" s="56"/>
      <c r="F671" s="55"/>
      <c r="G671" s="55"/>
      <c r="H671" s="56"/>
      <c r="J671" s="57" t="str">
        <f t="shared" si="1"/>
        <v>MéridaSantos MarquinaSantos Marquina</v>
      </c>
      <c r="K671" s="50" t="s">
        <v>220</v>
      </c>
      <c r="L671" s="50" t="s">
        <v>221</v>
      </c>
      <c r="M671" s="50" t="s">
        <v>1722</v>
      </c>
      <c r="N671" s="50" t="s">
        <v>1723</v>
      </c>
      <c r="O671" s="50" t="s">
        <v>1724</v>
      </c>
      <c r="P671" s="50" t="s">
        <v>1723</v>
      </c>
    </row>
    <row r="672" ht="13.5" customHeight="1">
      <c r="B672" s="54"/>
      <c r="C672" s="38"/>
      <c r="D672" s="55"/>
      <c r="E672" s="56"/>
      <c r="F672" s="55"/>
      <c r="G672" s="55"/>
      <c r="H672" s="56"/>
      <c r="J672" s="57" t="str">
        <f t="shared" si="1"/>
        <v>MéridaSucreCapital Sucre</v>
      </c>
      <c r="K672" s="50" t="s">
        <v>220</v>
      </c>
      <c r="L672" s="50" t="s">
        <v>221</v>
      </c>
      <c r="M672" s="50" t="s">
        <v>1725</v>
      </c>
      <c r="N672" s="50" t="s">
        <v>271</v>
      </c>
      <c r="O672" s="50" t="s">
        <v>1726</v>
      </c>
      <c r="P672" s="50" t="s">
        <v>1727</v>
      </c>
    </row>
    <row r="673" ht="13.5" customHeight="1">
      <c r="B673" s="54"/>
      <c r="C673" s="38"/>
      <c r="D673" s="55"/>
      <c r="E673" s="56"/>
      <c r="F673" s="55"/>
      <c r="G673" s="55"/>
      <c r="H673" s="56"/>
      <c r="J673" s="57" t="str">
        <f t="shared" si="1"/>
        <v>MéridaSucreChiguara</v>
      </c>
      <c r="K673" s="50" t="s">
        <v>220</v>
      </c>
      <c r="L673" s="50" t="s">
        <v>221</v>
      </c>
      <c r="M673" s="50" t="s">
        <v>1725</v>
      </c>
      <c r="N673" s="50" t="s">
        <v>271</v>
      </c>
      <c r="O673" s="50" t="s">
        <v>1728</v>
      </c>
      <c r="P673" s="50" t="s">
        <v>1729</v>
      </c>
    </row>
    <row r="674" ht="13.5" customHeight="1">
      <c r="B674" s="54"/>
      <c r="C674" s="38"/>
      <c r="D674" s="55"/>
      <c r="E674" s="56"/>
      <c r="F674" s="55"/>
      <c r="G674" s="55"/>
      <c r="H674" s="56"/>
      <c r="J674" s="57" t="str">
        <f t="shared" si="1"/>
        <v>MéridaSucreEstanquez</v>
      </c>
      <c r="K674" s="50" t="s">
        <v>220</v>
      </c>
      <c r="L674" s="50" t="s">
        <v>221</v>
      </c>
      <c r="M674" s="50" t="s">
        <v>1725</v>
      </c>
      <c r="N674" s="50" t="s">
        <v>271</v>
      </c>
      <c r="O674" s="50" t="s">
        <v>1730</v>
      </c>
      <c r="P674" s="50" t="s">
        <v>1731</v>
      </c>
    </row>
    <row r="675" ht="13.5" customHeight="1">
      <c r="B675" s="54"/>
      <c r="C675" s="38"/>
      <c r="D675" s="55"/>
      <c r="E675" s="56"/>
      <c r="F675" s="55"/>
      <c r="G675" s="55"/>
      <c r="H675" s="56"/>
      <c r="J675" s="57" t="str">
        <f t="shared" si="1"/>
        <v>MéridaSucreLa Trampa</v>
      </c>
      <c r="K675" s="50" t="s">
        <v>220</v>
      </c>
      <c r="L675" s="50" t="s">
        <v>221</v>
      </c>
      <c r="M675" s="50" t="s">
        <v>1725</v>
      </c>
      <c r="N675" s="50" t="s">
        <v>271</v>
      </c>
      <c r="O675" s="50" t="s">
        <v>1732</v>
      </c>
      <c r="P675" s="50" t="s">
        <v>1733</v>
      </c>
    </row>
    <row r="676" ht="13.5" customHeight="1">
      <c r="B676" s="54"/>
      <c r="C676" s="38"/>
      <c r="D676" s="55"/>
      <c r="E676" s="56"/>
      <c r="F676" s="55"/>
      <c r="G676" s="55"/>
      <c r="H676" s="56"/>
      <c r="J676" s="57" t="str">
        <f t="shared" si="1"/>
        <v>MéridaSucrePueblo Nuevo Del Sur</v>
      </c>
      <c r="K676" s="50" t="s">
        <v>220</v>
      </c>
      <c r="L676" s="50" t="s">
        <v>221</v>
      </c>
      <c r="M676" s="50" t="s">
        <v>1725</v>
      </c>
      <c r="N676" s="50" t="s">
        <v>271</v>
      </c>
      <c r="O676" s="50" t="s">
        <v>1734</v>
      </c>
      <c r="P676" s="50" t="s">
        <v>1735</v>
      </c>
    </row>
    <row r="677" ht="13.5" customHeight="1">
      <c r="B677" s="54"/>
      <c r="C677" s="38"/>
      <c r="D677" s="55"/>
      <c r="E677" s="56"/>
      <c r="F677" s="55"/>
      <c r="G677" s="55"/>
      <c r="H677" s="56"/>
      <c r="J677" s="57" t="str">
        <f t="shared" si="1"/>
        <v>MéridaSucreSan Juan</v>
      </c>
      <c r="K677" s="50" t="s">
        <v>220</v>
      </c>
      <c r="L677" s="50" t="s">
        <v>221</v>
      </c>
      <c r="M677" s="50" t="s">
        <v>1725</v>
      </c>
      <c r="N677" s="50" t="s">
        <v>271</v>
      </c>
      <c r="O677" s="50" t="s">
        <v>1736</v>
      </c>
      <c r="P677" s="50" t="s">
        <v>257</v>
      </c>
    </row>
    <row r="678" ht="13.5" customHeight="1">
      <c r="B678" s="54"/>
      <c r="C678" s="38"/>
      <c r="D678" s="55"/>
      <c r="E678" s="56"/>
      <c r="F678" s="55"/>
      <c r="G678" s="55"/>
      <c r="H678" s="56"/>
      <c r="J678" s="57" t="str">
        <f t="shared" si="1"/>
        <v>MéridaTovarEl Amparo</v>
      </c>
      <c r="K678" s="50" t="s">
        <v>220</v>
      </c>
      <c r="L678" s="50" t="s">
        <v>221</v>
      </c>
      <c r="M678" s="50" t="s">
        <v>1737</v>
      </c>
      <c r="N678" s="50" t="s">
        <v>431</v>
      </c>
      <c r="O678" s="50" t="s">
        <v>1738</v>
      </c>
      <c r="P678" s="50" t="s">
        <v>700</v>
      </c>
    </row>
    <row r="679" ht="13.5" customHeight="1">
      <c r="B679" s="54"/>
      <c r="C679" s="38"/>
      <c r="D679" s="55"/>
      <c r="E679" s="56"/>
      <c r="F679" s="55"/>
      <c r="G679" s="55"/>
      <c r="H679" s="56"/>
      <c r="J679" s="57" t="str">
        <f t="shared" si="1"/>
        <v>MéridaTovarEl Llano</v>
      </c>
      <c r="K679" s="50" t="s">
        <v>220</v>
      </c>
      <c r="L679" s="50" t="s">
        <v>221</v>
      </c>
      <c r="M679" s="50" t="s">
        <v>1737</v>
      </c>
      <c r="N679" s="50" t="s">
        <v>431</v>
      </c>
      <c r="O679" s="50" t="s">
        <v>1739</v>
      </c>
      <c r="P679" s="50" t="s">
        <v>1663</v>
      </c>
    </row>
    <row r="680" ht="13.5" customHeight="1">
      <c r="B680" s="54"/>
      <c r="C680" s="38"/>
      <c r="D680" s="55"/>
      <c r="E680" s="56"/>
      <c r="F680" s="55"/>
      <c r="G680" s="55"/>
      <c r="H680" s="56"/>
      <c r="J680" s="57" t="str">
        <f t="shared" si="1"/>
        <v>MéridaTovarSan Francisco</v>
      </c>
      <c r="K680" s="50" t="s">
        <v>220</v>
      </c>
      <c r="L680" s="50" t="s">
        <v>221</v>
      </c>
      <c r="M680" s="50" t="s">
        <v>1737</v>
      </c>
      <c r="N680" s="50" t="s">
        <v>431</v>
      </c>
      <c r="O680" s="50" t="s">
        <v>1740</v>
      </c>
      <c r="P680" s="50" t="s">
        <v>638</v>
      </c>
    </row>
    <row r="681" ht="13.5" customHeight="1">
      <c r="B681" s="54"/>
      <c r="C681" s="38"/>
      <c r="D681" s="55"/>
      <c r="E681" s="56"/>
      <c r="F681" s="55"/>
      <c r="G681" s="55"/>
      <c r="H681" s="56"/>
      <c r="J681" s="57" t="str">
        <f t="shared" si="1"/>
        <v>MéridaTovarTovar</v>
      </c>
      <c r="K681" s="50" t="s">
        <v>220</v>
      </c>
      <c r="L681" s="50" t="s">
        <v>221</v>
      </c>
      <c r="M681" s="50" t="s">
        <v>1737</v>
      </c>
      <c r="N681" s="50" t="s">
        <v>431</v>
      </c>
      <c r="O681" s="50" t="s">
        <v>1741</v>
      </c>
      <c r="P681" s="50" t="s">
        <v>431</v>
      </c>
    </row>
    <row r="682" ht="13.5" customHeight="1">
      <c r="B682" s="54"/>
      <c r="C682" s="38"/>
      <c r="D682" s="55"/>
      <c r="E682" s="56"/>
      <c r="F682" s="55"/>
      <c r="G682" s="55"/>
      <c r="H682" s="56"/>
      <c r="J682" s="57" t="str">
        <f t="shared" si="1"/>
        <v>MéridaTulio Febres CorderoCapital Tulio Febres Cordero</v>
      </c>
      <c r="K682" s="50" t="s">
        <v>220</v>
      </c>
      <c r="L682" s="50" t="s">
        <v>221</v>
      </c>
      <c r="M682" s="50" t="s">
        <v>1742</v>
      </c>
      <c r="N682" s="50" t="s">
        <v>1743</v>
      </c>
      <c r="O682" s="50" t="s">
        <v>1744</v>
      </c>
      <c r="P682" s="50" t="s">
        <v>1745</v>
      </c>
    </row>
    <row r="683" ht="13.5" customHeight="1">
      <c r="B683" s="54"/>
      <c r="C683" s="38"/>
      <c r="D683" s="55"/>
      <c r="E683" s="56"/>
      <c r="F683" s="55"/>
      <c r="G683" s="55"/>
      <c r="H683" s="56"/>
      <c r="J683" s="57" t="str">
        <f t="shared" si="1"/>
        <v>MéridaTulio Febres CorderoIndependencia</v>
      </c>
      <c r="K683" s="50" t="s">
        <v>220</v>
      </c>
      <c r="L683" s="50" t="s">
        <v>221</v>
      </c>
      <c r="M683" s="50" t="s">
        <v>1742</v>
      </c>
      <c r="N683" s="50" t="s">
        <v>1743</v>
      </c>
      <c r="O683" s="50" t="s">
        <v>1746</v>
      </c>
      <c r="P683" s="50" t="s">
        <v>234</v>
      </c>
    </row>
    <row r="684" ht="13.5" customHeight="1">
      <c r="B684" s="54"/>
      <c r="C684" s="38"/>
      <c r="D684" s="55"/>
      <c r="E684" s="56"/>
      <c r="F684" s="55"/>
      <c r="G684" s="55"/>
      <c r="H684" s="56"/>
      <c r="J684" s="57" t="str">
        <f t="shared" si="1"/>
        <v>MéridaTulio Febres CorderoMaría De La Concepción Palacios Blanco</v>
      </c>
      <c r="K684" s="50" t="s">
        <v>220</v>
      </c>
      <c r="L684" s="50" t="s">
        <v>221</v>
      </c>
      <c r="M684" s="50" t="s">
        <v>1742</v>
      </c>
      <c r="N684" s="50" t="s">
        <v>1743</v>
      </c>
      <c r="O684" s="50" t="s">
        <v>1747</v>
      </c>
      <c r="P684" s="50" t="s">
        <v>1748</v>
      </c>
    </row>
    <row r="685" ht="13.5" customHeight="1">
      <c r="B685" s="54"/>
      <c r="C685" s="38"/>
      <c r="D685" s="55"/>
      <c r="E685" s="56"/>
      <c r="F685" s="55"/>
      <c r="G685" s="55"/>
      <c r="H685" s="56"/>
      <c r="J685" s="57" t="str">
        <f t="shared" si="1"/>
        <v>MéridaTulio Febres CorderoSanta Apolonia</v>
      </c>
      <c r="K685" s="50" t="s">
        <v>220</v>
      </c>
      <c r="L685" s="50" t="s">
        <v>221</v>
      </c>
      <c r="M685" s="50" t="s">
        <v>1742</v>
      </c>
      <c r="N685" s="50" t="s">
        <v>1743</v>
      </c>
      <c r="O685" s="50" t="s">
        <v>1749</v>
      </c>
      <c r="P685" s="50" t="s">
        <v>1750</v>
      </c>
    </row>
    <row r="686" ht="13.5" customHeight="1">
      <c r="B686" s="54"/>
      <c r="C686" s="38"/>
      <c r="D686" s="55"/>
      <c r="E686" s="56"/>
      <c r="F686" s="55"/>
      <c r="G686" s="55"/>
      <c r="H686" s="56"/>
      <c r="J686" s="57" t="str">
        <f t="shared" si="1"/>
        <v>MéridaZeaCapital Zea</v>
      </c>
      <c r="K686" s="50" t="s">
        <v>220</v>
      </c>
      <c r="L686" s="50" t="s">
        <v>221</v>
      </c>
      <c r="M686" s="50" t="s">
        <v>1751</v>
      </c>
      <c r="N686" s="50" t="s">
        <v>973</v>
      </c>
      <c r="O686" s="50" t="s">
        <v>1752</v>
      </c>
      <c r="P686" s="50" t="s">
        <v>1753</v>
      </c>
    </row>
    <row r="687" ht="13.5" customHeight="1">
      <c r="B687" s="54"/>
      <c r="C687" s="38"/>
      <c r="D687" s="55"/>
      <c r="E687" s="56"/>
      <c r="F687" s="55"/>
      <c r="G687" s="55"/>
      <c r="H687" s="56"/>
      <c r="J687" s="57" t="str">
        <f t="shared" si="1"/>
        <v>MéridaZeaCaño El Tigre</v>
      </c>
      <c r="K687" s="50" t="s">
        <v>220</v>
      </c>
      <c r="L687" s="50" t="s">
        <v>221</v>
      </c>
      <c r="M687" s="50" t="s">
        <v>1751</v>
      </c>
      <c r="N687" s="50" t="s">
        <v>973</v>
      </c>
      <c r="O687" s="50" t="s">
        <v>1754</v>
      </c>
      <c r="P687" s="50" t="s">
        <v>1755</v>
      </c>
    </row>
    <row r="688" ht="13.5" customHeight="1">
      <c r="B688" s="54"/>
      <c r="C688" s="38"/>
      <c r="D688" s="55"/>
      <c r="E688" s="56"/>
      <c r="F688" s="55"/>
      <c r="G688" s="55"/>
      <c r="H688" s="56"/>
      <c r="J688" s="57" t="str">
        <f t="shared" si="1"/>
        <v>MirandaAcevedoCaucagua</v>
      </c>
      <c r="K688" s="50" t="s">
        <v>231</v>
      </c>
      <c r="L688" s="50" t="s">
        <v>232</v>
      </c>
      <c r="M688" s="50" t="s">
        <v>1756</v>
      </c>
      <c r="N688" s="50" t="s">
        <v>1757</v>
      </c>
      <c r="O688" s="50" t="s">
        <v>1758</v>
      </c>
      <c r="P688" s="50" t="s">
        <v>1759</v>
      </c>
    </row>
    <row r="689" ht="13.5" customHeight="1">
      <c r="B689" s="54"/>
      <c r="C689" s="38"/>
      <c r="D689" s="55"/>
      <c r="E689" s="56"/>
      <c r="F689" s="55"/>
      <c r="G689" s="55"/>
      <c r="H689" s="56"/>
      <c r="J689" s="57" t="str">
        <f t="shared" si="1"/>
        <v>MirandaAcevedoAraguita</v>
      </c>
      <c r="K689" s="50" t="s">
        <v>231</v>
      </c>
      <c r="L689" s="50" t="s">
        <v>232</v>
      </c>
      <c r="M689" s="50" t="s">
        <v>1756</v>
      </c>
      <c r="N689" s="50" t="s">
        <v>1757</v>
      </c>
      <c r="O689" s="50" t="s">
        <v>1760</v>
      </c>
      <c r="P689" s="50" t="s">
        <v>1761</v>
      </c>
    </row>
    <row r="690" ht="13.5" customHeight="1">
      <c r="B690" s="54"/>
      <c r="C690" s="38"/>
      <c r="D690" s="55"/>
      <c r="E690" s="56"/>
      <c r="F690" s="55"/>
      <c r="G690" s="55"/>
      <c r="H690" s="56"/>
      <c r="J690" s="57" t="str">
        <f t="shared" si="1"/>
        <v>MirandaAcevedoArévalo González</v>
      </c>
      <c r="K690" s="50" t="s">
        <v>231</v>
      </c>
      <c r="L690" s="50" t="s">
        <v>232</v>
      </c>
      <c r="M690" s="50" t="s">
        <v>1756</v>
      </c>
      <c r="N690" s="50" t="s">
        <v>1757</v>
      </c>
      <c r="O690" s="50" t="s">
        <v>1762</v>
      </c>
      <c r="P690" s="50" t="s">
        <v>1763</v>
      </c>
    </row>
    <row r="691" ht="13.5" customHeight="1">
      <c r="B691" s="54"/>
      <c r="C691" s="38"/>
      <c r="D691" s="55"/>
      <c r="E691" s="56"/>
      <c r="F691" s="55"/>
      <c r="G691" s="55"/>
      <c r="H691" s="56"/>
      <c r="J691" s="57" t="str">
        <f t="shared" si="1"/>
        <v>MirandaAcevedoCapaya</v>
      </c>
      <c r="K691" s="50" t="s">
        <v>231</v>
      </c>
      <c r="L691" s="50" t="s">
        <v>232</v>
      </c>
      <c r="M691" s="50" t="s">
        <v>1756</v>
      </c>
      <c r="N691" s="50" t="s">
        <v>1757</v>
      </c>
      <c r="O691" s="50" t="s">
        <v>1764</v>
      </c>
      <c r="P691" s="50" t="s">
        <v>1765</v>
      </c>
    </row>
    <row r="692" ht="13.5" customHeight="1">
      <c r="B692" s="54"/>
      <c r="C692" s="38"/>
      <c r="D692" s="55"/>
      <c r="E692" s="56"/>
      <c r="F692" s="55"/>
      <c r="G692" s="55"/>
      <c r="H692" s="56"/>
      <c r="J692" s="57" t="str">
        <f t="shared" si="1"/>
        <v>MirandaAcevedoEl Café</v>
      </c>
      <c r="K692" s="50" t="s">
        <v>231</v>
      </c>
      <c r="L692" s="50" t="s">
        <v>232</v>
      </c>
      <c r="M692" s="50" t="s">
        <v>1756</v>
      </c>
      <c r="N692" s="50" t="s">
        <v>1757</v>
      </c>
      <c r="O692" s="50" t="s">
        <v>1766</v>
      </c>
      <c r="P692" s="50" t="s">
        <v>1767</v>
      </c>
    </row>
    <row r="693" ht="13.5" customHeight="1">
      <c r="B693" s="54"/>
      <c r="C693" s="38"/>
      <c r="D693" s="55"/>
      <c r="E693" s="56"/>
      <c r="F693" s="55"/>
      <c r="G693" s="55"/>
      <c r="H693" s="56"/>
      <c r="J693" s="57" t="str">
        <f t="shared" si="1"/>
        <v>MirandaAcevedoMarizapa</v>
      </c>
      <c r="K693" s="50" t="s">
        <v>231</v>
      </c>
      <c r="L693" s="50" t="s">
        <v>232</v>
      </c>
      <c r="M693" s="50" t="s">
        <v>1756</v>
      </c>
      <c r="N693" s="50" t="s">
        <v>1757</v>
      </c>
      <c r="O693" s="50" t="s">
        <v>1768</v>
      </c>
      <c r="P693" s="50" t="s">
        <v>1769</v>
      </c>
    </row>
    <row r="694" ht="13.5" customHeight="1">
      <c r="B694" s="54"/>
      <c r="C694" s="38"/>
      <c r="D694" s="55"/>
      <c r="E694" s="56"/>
      <c r="F694" s="55"/>
      <c r="G694" s="55"/>
      <c r="H694" s="56"/>
      <c r="J694" s="57" t="str">
        <f t="shared" si="1"/>
        <v>MirandaAcevedoPanaquire</v>
      </c>
      <c r="K694" s="50" t="s">
        <v>231</v>
      </c>
      <c r="L694" s="50" t="s">
        <v>232</v>
      </c>
      <c r="M694" s="50" t="s">
        <v>1756</v>
      </c>
      <c r="N694" s="50" t="s">
        <v>1757</v>
      </c>
      <c r="O694" s="50" t="s">
        <v>1770</v>
      </c>
      <c r="P694" s="50" t="s">
        <v>1771</v>
      </c>
    </row>
    <row r="695" ht="13.5" customHeight="1">
      <c r="B695" s="54"/>
      <c r="C695" s="38"/>
      <c r="D695" s="55"/>
      <c r="E695" s="56"/>
      <c r="F695" s="55"/>
      <c r="G695" s="55"/>
      <c r="H695" s="56"/>
      <c r="J695" s="57" t="str">
        <f t="shared" si="1"/>
        <v>MirandaAcevedoRibas</v>
      </c>
      <c r="K695" s="50" t="s">
        <v>231</v>
      </c>
      <c r="L695" s="50" t="s">
        <v>232</v>
      </c>
      <c r="M695" s="50" t="s">
        <v>1756</v>
      </c>
      <c r="N695" s="50" t="s">
        <v>1757</v>
      </c>
      <c r="O695" s="50" t="s">
        <v>1772</v>
      </c>
      <c r="P695" s="50" t="s">
        <v>1773</v>
      </c>
    </row>
    <row r="696" ht="13.5" customHeight="1">
      <c r="B696" s="54"/>
      <c r="C696" s="38"/>
      <c r="D696" s="55"/>
      <c r="E696" s="56"/>
      <c r="F696" s="55"/>
      <c r="G696" s="55"/>
      <c r="H696" s="56"/>
      <c r="J696" s="57" t="str">
        <f t="shared" si="1"/>
        <v>MirandaAndrés BelloSan José De Barlovento</v>
      </c>
      <c r="K696" s="50" t="s">
        <v>231</v>
      </c>
      <c r="L696" s="50" t="s">
        <v>232</v>
      </c>
      <c r="M696" s="50" t="s">
        <v>1774</v>
      </c>
      <c r="N696" s="50" t="s">
        <v>464</v>
      </c>
      <c r="O696" s="50" t="s">
        <v>1775</v>
      </c>
      <c r="P696" s="50" t="s">
        <v>1776</v>
      </c>
    </row>
    <row r="697" ht="13.5" customHeight="1">
      <c r="B697" s="54"/>
      <c r="C697" s="38"/>
      <c r="D697" s="55"/>
      <c r="E697" s="56"/>
      <c r="F697" s="55"/>
      <c r="G697" s="55"/>
      <c r="H697" s="56"/>
      <c r="J697" s="57" t="str">
        <f t="shared" si="1"/>
        <v>MirandaAndrés BelloCumbo</v>
      </c>
      <c r="K697" s="50" t="s">
        <v>231</v>
      </c>
      <c r="L697" s="50" t="s">
        <v>232</v>
      </c>
      <c r="M697" s="50" t="s">
        <v>1774</v>
      </c>
      <c r="N697" s="50" t="s">
        <v>464</v>
      </c>
      <c r="O697" s="50" t="s">
        <v>1777</v>
      </c>
      <c r="P697" s="50" t="s">
        <v>1778</v>
      </c>
    </row>
    <row r="698" ht="13.5" customHeight="1">
      <c r="B698" s="54"/>
      <c r="C698" s="38"/>
      <c r="D698" s="55"/>
      <c r="E698" s="56"/>
      <c r="F698" s="55"/>
      <c r="G698" s="55"/>
      <c r="H698" s="56"/>
      <c r="J698" s="57" t="str">
        <f t="shared" si="1"/>
        <v>MirandaBarutaNuestra Señora Del Rosario De Baruta</v>
      </c>
      <c r="K698" s="50" t="s">
        <v>231</v>
      </c>
      <c r="L698" s="50" t="s">
        <v>232</v>
      </c>
      <c r="M698" s="50" t="s">
        <v>1779</v>
      </c>
      <c r="N698" s="50" t="s">
        <v>1780</v>
      </c>
      <c r="O698" s="50" t="s">
        <v>1781</v>
      </c>
      <c r="P698" s="50" t="s">
        <v>1782</v>
      </c>
    </row>
    <row r="699" ht="13.5" customHeight="1">
      <c r="B699" s="54"/>
      <c r="C699" s="38"/>
      <c r="D699" s="55"/>
      <c r="E699" s="56"/>
      <c r="F699" s="55"/>
      <c r="G699" s="55"/>
      <c r="H699" s="56"/>
      <c r="J699" s="57" t="str">
        <f t="shared" si="1"/>
        <v>MirandaBarutaEl Cafetal</v>
      </c>
      <c r="K699" s="50" t="s">
        <v>231</v>
      </c>
      <c r="L699" s="50" t="s">
        <v>232</v>
      </c>
      <c r="M699" s="50" t="s">
        <v>1779</v>
      </c>
      <c r="N699" s="50" t="s">
        <v>1780</v>
      </c>
      <c r="O699" s="50" t="s">
        <v>1783</v>
      </c>
      <c r="P699" s="50" t="s">
        <v>1784</v>
      </c>
    </row>
    <row r="700" ht="13.5" customHeight="1">
      <c r="B700" s="54"/>
      <c r="C700" s="38"/>
      <c r="D700" s="55"/>
      <c r="E700" s="56"/>
      <c r="F700" s="55"/>
      <c r="G700" s="55"/>
      <c r="H700" s="56"/>
      <c r="J700" s="57" t="str">
        <f t="shared" si="1"/>
        <v>MirandaBarutaLas Minas De Baruta</v>
      </c>
      <c r="K700" s="50" t="s">
        <v>231</v>
      </c>
      <c r="L700" s="50" t="s">
        <v>232</v>
      </c>
      <c r="M700" s="50" t="s">
        <v>1779</v>
      </c>
      <c r="N700" s="50" t="s">
        <v>1780</v>
      </c>
      <c r="O700" s="50" t="s">
        <v>1785</v>
      </c>
      <c r="P700" s="50" t="s">
        <v>1786</v>
      </c>
    </row>
    <row r="701" ht="13.5" customHeight="1">
      <c r="B701" s="54"/>
      <c r="C701" s="38"/>
      <c r="D701" s="55"/>
      <c r="E701" s="56"/>
      <c r="F701" s="55"/>
      <c r="G701" s="55"/>
      <c r="H701" s="56"/>
      <c r="J701" s="57" t="str">
        <f t="shared" si="1"/>
        <v>MirandaBriónHiguerote</v>
      </c>
      <c r="K701" s="50" t="s">
        <v>231</v>
      </c>
      <c r="L701" s="50" t="s">
        <v>232</v>
      </c>
      <c r="M701" s="50" t="s">
        <v>1787</v>
      </c>
      <c r="N701" s="50" t="s">
        <v>1788</v>
      </c>
      <c r="O701" s="50" t="s">
        <v>1789</v>
      </c>
      <c r="P701" s="50" t="s">
        <v>1790</v>
      </c>
    </row>
    <row r="702" ht="13.5" customHeight="1">
      <c r="B702" s="54"/>
      <c r="C702" s="38"/>
      <c r="D702" s="55"/>
      <c r="E702" s="56"/>
      <c r="F702" s="55"/>
      <c r="G702" s="55"/>
      <c r="H702" s="56"/>
      <c r="J702" s="57" t="str">
        <f t="shared" si="1"/>
        <v>MirandaBriónCuriepe</v>
      </c>
      <c r="K702" s="50" t="s">
        <v>231</v>
      </c>
      <c r="L702" s="50" t="s">
        <v>232</v>
      </c>
      <c r="M702" s="50" t="s">
        <v>1787</v>
      </c>
      <c r="N702" s="50" t="s">
        <v>1788</v>
      </c>
      <c r="O702" s="50" t="s">
        <v>1791</v>
      </c>
      <c r="P702" s="50" t="s">
        <v>1792</v>
      </c>
    </row>
    <row r="703" ht="13.5" customHeight="1">
      <c r="B703" s="54"/>
      <c r="C703" s="38"/>
      <c r="D703" s="55"/>
      <c r="E703" s="56"/>
      <c r="F703" s="55"/>
      <c r="G703" s="55"/>
      <c r="H703" s="56"/>
      <c r="J703" s="57" t="str">
        <f t="shared" si="1"/>
        <v>MirandaBriónTacarigua</v>
      </c>
      <c r="K703" s="50" t="s">
        <v>231</v>
      </c>
      <c r="L703" s="50" t="s">
        <v>232</v>
      </c>
      <c r="M703" s="50" t="s">
        <v>1787</v>
      </c>
      <c r="N703" s="50" t="s">
        <v>1788</v>
      </c>
      <c r="O703" s="50" t="s">
        <v>1793</v>
      </c>
      <c r="P703" s="50" t="s">
        <v>1794</v>
      </c>
    </row>
    <row r="704" ht="13.5" customHeight="1">
      <c r="B704" s="54"/>
      <c r="C704" s="38"/>
      <c r="D704" s="55"/>
      <c r="E704" s="56"/>
      <c r="F704" s="55"/>
      <c r="G704" s="55"/>
      <c r="H704" s="56"/>
      <c r="J704" s="57" t="str">
        <f t="shared" si="1"/>
        <v>MirandaBurozMamporal</v>
      </c>
      <c r="K704" s="50" t="s">
        <v>231</v>
      </c>
      <c r="L704" s="50" t="s">
        <v>232</v>
      </c>
      <c r="M704" s="50" t="s">
        <v>1795</v>
      </c>
      <c r="N704" s="50" t="s">
        <v>1796</v>
      </c>
      <c r="O704" s="50" t="s">
        <v>1797</v>
      </c>
      <c r="P704" s="50" t="s">
        <v>1798</v>
      </c>
    </row>
    <row r="705" ht="13.5" customHeight="1">
      <c r="B705" s="54"/>
      <c r="C705" s="38"/>
      <c r="D705" s="55"/>
      <c r="E705" s="56"/>
      <c r="F705" s="55"/>
      <c r="G705" s="55"/>
      <c r="H705" s="56"/>
      <c r="J705" s="57" t="str">
        <f t="shared" si="1"/>
        <v>MirandaCarrizalCarrizal</v>
      </c>
      <c r="K705" s="50" t="s">
        <v>231</v>
      </c>
      <c r="L705" s="50" t="s">
        <v>232</v>
      </c>
      <c r="M705" s="50" t="s">
        <v>1799</v>
      </c>
      <c r="N705" s="50" t="s">
        <v>1800</v>
      </c>
      <c r="O705" s="50" t="s">
        <v>1801</v>
      </c>
      <c r="P705" s="50" t="s">
        <v>1800</v>
      </c>
    </row>
    <row r="706" ht="13.5" customHeight="1">
      <c r="B706" s="54"/>
      <c r="C706" s="38"/>
      <c r="D706" s="55"/>
      <c r="E706" s="56"/>
      <c r="F706" s="55"/>
      <c r="G706" s="55"/>
      <c r="H706" s="56"/>
      <c r="J706" s="57" t="str">
        <f t="shared" si="1"/>
        <v>MirandaChacaoChacao</v>
      </c>
      <c r="K706" s="50" t="s">
        <v>231</v>
      </c>
      <c r="L706" s="50" t="s">
        <v>232</v>
      </c>
      <c r="M706" s="50" t="s">
        <v>1802</v>
      </c>
      <c r="N706" s="50" t="s">
        <v>1803</v>
      </c>
      <c r="O706" s="50" t="s">
        <v>1804</v>
      </c>
      <c r="P706" s="50" t="s">
        <v>1803</v>
      </c>
    </row>
    <row r="707" ht="13.5" customHeight="1">
      <c r="B707" s="54"/>
      <c r="C707" s="38"/>
      <c r="D707" s="55"/>
      <c r="E707" s="56"/>
      <c r="F707" s="55"/>
      <c r="G707" s="55"/>
      <c r="H707" s="56"/>
      <c r="J707" s="57" t="str">
        <f t="shared" si="1"/>
        <v>MirandaCristóbal RojasCharallave</v>
      </c>
      <c r="K707" s="50" t="s">
        <v>231</v>
      </c>
      <c r="L707" s="50" t="s">
        <v>232</v>
      </c>
      <c r="M707" s="50" t="s">
        <v>1805</v>
      </c>
      <c r="N707" s="50" t="s">
        <v>1806</v>
      </c>
      <c r="O707" s="50" t="s">
        <v>1807</v>
      </c>
      <c r="P707" s="50" t="s">
        <v>1808</v>
      </c>
    </row>
    <row r="708" ht="13.5" customHeight="1">
      <c r="B708" s="54"/>
      <c r="C708" s="38"/>
      <c r="D708" s="55"/>
      <c r="E708" s="56"/>
      <c r="F708" s="55"/>
      <c r="G708" s="55"/>
      <c r="H708" s="56"/>
      <c r="J708" s="57" t="str">
        <f t="shared" si="1"/>
        <v>MirandaCristóbal RojasLas Brisas</v>
      </c>
      <c r="K708" s="50" t="s">
        <v>231</v>
      </c>
      <c r="L708" s="50" t="s">
        <v>232</v>
      </c>
      <c r="M708" s="50" t="s">
        <v>1805</v>
      </c>
      <c r="N708" s="50" t="s">
        <v>1806</v>
      </c>
      <c r="O708" s="50" t="s">
        <v>1809</v>
      </c>
      <c r="P708" s="50" t="s">
        <v>1810</v>
      </c>
    </row>
    <row r="709" ht="13.5" customHeight="1">
      <c r="B709" s="54"/>
      <c r="C709" s="38"/>
      <c r="D709" s="55"/>
      <c r="E709" s="56"/>
      <c r="F709" s="55"/>
      <c r="G709" s="55"/>
      <c r="H709" s="56"/>
      <c r="J709" s="57" t="str">
        <f t="shared" si="1"/>
        <v>MirandaEl HatilloEl Hatillo</v>
      </c>
      <c r="K709" s="50" t="s">
        <v>231</v>
      </c>
      <c r="L709" s="50" t="s">
        <v>232</v>
      </c>
      <c r="M709" s="50" t="s">
        <v>1811</v>
      </c>
      <c r="N709" s="50" t="s">
        <v>1812</v>
      </c>
      <c r="O709" s="50" t="s">
        <v>1813</v>
      </c>
      <c r="P709" s="50" t="s">
        <v>1812</v>
      </c>
    </row>
    <row r="710" ht="13.5" customHeight="1">
      <c r="B710" s="54"/>
      <c r="C710" s="38"/>
      <c r="D710" s="55"/>
      <c r="E710" s="56"/>
      <c r="F710" s="55"/>
      <c r="G710" s="55"/>
      <c r="H710" s="56"/>
      <c r="J710" s="57" t="str">
        <f t="shared" si="1"/>
        <v>MirandaBolivariano GuaicaipuroLos Teques</v>
      </c>
      <c r="K710" s="50" t="s">
        <v>231</v>
      </c>
      <c r="L710" s="50" t="s">
        <v>232</v>
      </c>
      <c r="M710" s="50" t="s">
        <v>1814</v>
      </c>
      <c r="N710" s="50" t="s">
        <v>1815</v>
      </c>
      <c r="O710" s="50" t="s">
        <v>1816</v>
      </c>
      <c r="P710" s="50" t="s">
        <v>1817</v>
      </c>
    </row>
    <row r="711" ht="13.5" customHeight="1">
      <c r="B711" s="54"/>
      <c r="C711" s="38"/>
      <c r="D711" s="55"/>
      <c r="E711" s="56"/>
      <c r="F711" s="55"/>
      <c r="G711" s="55"/>
      <c r="H711" s="56"/>
      <c r="J711" s="57" t="str">
        <f t="shared" si="1"/>
        <v>MirandaBolivariano GuaicaipuroAltagracia De La Montaña</v>
      </c>
      <c r="K711" s="50" t="s">
        <v>231</v>
      </c>
      <c r="L711" s="50" t="s">
        <v>232</v>
      </c>
      <c r="M711" s="50" t="s">
        <v>1814</v>
      </c>
      <c r="N711" s="50" t="s">
        <v>1815</v>
      </c>
      <c r="O711" s="50" t="s">
        <v>1818</v>
      </c>
      <c r="P711" s="50" t="s">
        <v>1819</v>
      </c>
    </row>
    <row r="712" ht="13.5" customHeight="1">
      <c r="B712" s="54"/>
      <c r="C712" s="38"/>
      <c r="D712" s="55"/>
      <c r="E712" s="56"/>
      <c r="F712" s="55"/>
      <c r="G712" s="55"/>
      <c r="H712" s="56"/>
      <c r="J712" s="57" t="str">
        <f t="shared" si="1"/>
        <v>MirandaBolivariano GuaicaipuroCecilio Acosta</v>
      </c>
      <c r="K712" s="50" t="s">
        <v>231</v>
      </c>
      <c r="L712" s="50" t="s">
        <v>232</v>
      </c>
      <c r="M712" s="50" t="s">
        <v>1814</v>
      </c>
      <c r="N712" s="50" t="s">
        <v>1815</v>
      </c>
      <c r="O712" s="50" t="s">
        <v>1820</v>
      </c>
      <c r="P712" s="50" t="s">
        <v>1821</v>
      </c>
    </row>
    <row r="713" ht="13.5" customHeight="1">
      <c r="B713" s="54"/>
      <c r="C713" s="38"/>
      <c r="D713" s="55"/>
      <c r="E713" s="56"/>
      <c r="F713" s="55"/>
      <c r="G713" s="55"/>
      <c r="H713" s="56"/>
      <c r="J713" s="57" t="str">
        <f t="shared" si="1"/>
        <v>MirandaBolivariano GuaicaipuroEl Jarillo</v>
      </c>
      <c r="K713" s="50" t="s">
        <v>231</v>
      </c>
      <c r="L713" s="50" t="s">
        <v>232</v>
      </c>
      <c r="M713" s="50" t="s">
        <v>1814</v>
      </c>
      <c r="N713" s="50" t="s">
        <v>1815</v>
      </c>
      <c r="O713" s="50" t="s">
        <v>1822</v>
      </c>
      <c r="P713" s="50" t="s">
        <v>1823</v>
      </c>
    </row>
    <row r="714" ht="13.5" customHeight="1">
      <c r="B714" s="54"/>
      <c r="C714" s="38"/>
      <c r="D714" s="55"/>
      <c r="E714" s="56"/>
      <c r="F714" s="55"/>
      <c r="G714" s="55"/>
      <c r="H714" s="56"/>
      <c r="J714" s="57" t="str">
        <f t="shared" si="1"/>
        <v>MirandaBolivariano GuaicaipuroParacotos</v>
      </c>
      <c r="K714" s="50" t="s">
        <v>231</v>
      </c>
      <c r="L714" s="50" t="s">
        <v>232</v>
      </c>
      <c r="M714" s="50" t="s">
        <v>1814</v>
      </c>
      <c r="N714" s="50" t="s">
        <v>1815</v>
      </c>
      <c r="O714" s="50" t="s">
        <v>1824</v>
      </c>
      <c r="P714" s="50" t="s">
        <v>1825</v>
      </c>
    </row>
    <row r="715" ht="13.5" customHeight="1">
      <c r="B715" s="54"/>
      <c r="C715" s="38"/>
      <c r="D715" s="55"/>
      <c r="E715" s="56"/>
      <c r="F715" s="55"/>
      <c r="G715" s="55"/>
      <c r="H715" s="56"/>
      <c r="J715" s="57" t="str">
        <f t="shared" si="1"/>
        <v>MirandaBolivariano GuaicaipuroSan Pedro</v>
      </c>
      <c r="K715" s="50" t="s">
        <v>231</v>
      </c>
      <c r="L715" s="50" t="s">
        <v>232</v>
      </c>
      <c r="M715" s="50" t="s">
        <v>1814</v>
      </c>
      <c r="N715" s="50" t="s">
        <v>1815</v>
      </c>
      <c r="O715" s="50" t="s">
        <v>1826</v>
      </c>
      <c r="P715" s="50" t="s">
        <v>267</v>
      </c>
    </row>
    <row r="716" ht="13.5" customHeight="1">
      <c r="B716" s="54"/>
      <c r="C716" s="38"/>
      <c r="D716" s="55"/>
      <c r="E716" s="56"/>
      <c r="F716" s="55"/>
      <c r="G716" s="55"/>
      <c r="H716" s="56"/>
      <c r="J716" s="57" t="str">
        <f t="shared" si="1"/>
        <v>MirandaBolivariano GuaicaipuroTacata</v>
      </c>
      <c r="K716" s="50" t="s">
        <v>231</v>
      </c>
      <c r="L716" s="50" t="s">
        <v>232</v>
      </c>
      <c r="M716" s="50" t="s">
        <v>1814</v>
      </c>
      <c r="N716" s="50" t="s">
        <v>1815</v>
      </c>
      <c r="O716" s="50" t="s">
        <v>1827</v>
      </c>
      <c r="P716" s="50" t="s">
        <v>1828</v>
      </c>
    </row>
    <row r="717" ht="13.5" customHeight="1">
      <c r="B717" s="54"/>
      <c r="C717" s="38"/>
      <c r="D717" s="55"/>
      <c r="E717" s="56"/>
      <c r="F717" s="55"/>
      <c r="G717" s="55"/>
      <c r="H717" s="56"/>
      <c r="J717" s="57" t="str">
        <f t="shared" si="1"/>
        <v>MirandaIndependenciaSanta Teresa Del Tuy</v>
      </c>
      <c r="K717" s="50" t="s">
        <v>231</v>
      </c>
      <c r="L717" s="50" t="s">
        <v>232</v>
      </c>
      <c r="M717" s="50" t="s">
        <v>1829</v>
      </c>
      <c r="N717" s="50" t="s">
        <v>234</v>
      </c>
      <c r="O717" s="50" t="s">
        <v>1830</v>
      </c>
      <c r="P717" s="50" t="s">
        <v>1831</v>
      </c>
    </row>
    <row r="718" ht="13.5" customHeight="1">
      <c r="B718" s="54"/>
      <c r="C718" s="38"/>
      <c r="D718" s="55"/>
      <c r="E718" s="56"/>
      <c r="F718" s="55"/>
      <c r="G718" s="55"/>
      <c r="H718" s="56"/>
      <c r="J718" s="57" t="str">
        <f t="shared" si="1"/>
        <v>MirandaIndependenciaEl Cartanal</v>
      </c>
      <c r="K718" s="50" t="s">
        <v>231</v>
      </c>
      <c r="L718" s="50" t="s">
        <v>232</v>
      </c>
      <c r="M718" s="50" t="s">
        <v>1829</v>
      </c>
      <c r="N718" s="50" t="s">
        <v>234</v>
      </c>
      <c r="O718" s="50" t="s">
        <v>1832</v>
      </c>
      <c r="P718" s="50" t="s">
        <v>1833</v>
      </c>
    </row>
    <row r="719" ht="13.5" customHeight="1">
      <c r="B719" s="54"/>
      <c r="C719" s="38"/>
      <c r="D719" s="55"/>
      <c r="E719" s="56"/>
      <c r="F719" s="55"/>
      <c r="G719" s="55"/>
      <c r="H719" s="56"/>
      <c r="J719" s="57" t="str">
        <f t="shared" si="1"/>
        <v>MirandaLanderOcumare Del Tuy</v>
      </c>
      <c r="K719" s="50" t="s">
        <v>231</v>
      </c>
      <c r="L719" s="50" t="s">
        <v>232</v>
      </c>
      <c r="M719" s="50" t="s">
        <v>1834</v>
      </c>
      <c r="N719" s="50" t="s">
        <v>1835</v>
      </c>
      <c r="O719" s="50" t="s">
        <v>1836</v>
      </c>
      <c r="P719" s="50" t="s">
        <v>1837</v>
      </c>
    </row>
    <row r="720" ht="13.5" customHeight="1">
      <c r="B720" s="54"/>
      <c r="C720" s="38"/>
      <c r="D720" s="55"/>
      <c r="E720" s="56"/>
      <c r="F720" s="55"/>
      <c r="G720" s="55"/>
      <c r="H720" s="56"/>
      <c r="J720" s="57" t="str">
        <f t="shared" si="1"/>
        <v>MirandaLanderLa Democracia</v>
      </c>
      <c r="K720" s="50" t="s">
        <v>231</v>
      </c>
      <c r="L720" s="50" t="s">
        <v>232</v>
      </c>
      <c r="M720" s="50" t="s">
        <v>1834</v>
      </c>
      <c r="N720" s="50" t="s">
        <v>1835</v>
      </c>
      <c r="O720" s="50" t="s">
        <v>1838</v>
      </c>
      <c r="P720" s="50" t="s">
        <v>1839</v>
      </c>
    </row>
    <row r="721" ht="13.5" customHeight="1">
      <c r="B721" s="54"/>
      <c r="C721" s="38"/>
      <c r="D721" s="55"/>
      <c r="E721" s="56"/>
      <c r="F721" s="55"/>
      <c r="G721" s="55"/>
      <c r="H721" s="56"/>
      <c r="J721" s="57" t="str">
        <f t="shared" si="1"/>
        <v>MirandaLanderSanta Barbará</v>
      </c>
      <c r="K721" s="50" t="s">
        <v>231</v>
      </c>
      <c r="L721" s="50" t="s">
        <v>232</v>
      </c>
      <c r="M721" s="50" t="s">
        <v>1834</v>
      </c>
      <c r="N721" s="50" t="s">
        <v>1835</v>
      </c>
      <c r="O721" s="50" t="s">
        <v>1840</v>
      </c>
      <c r="P721" s="50" t="s">
        <v>869</v>
      </c>
    </row>
    <row r="722" ht="13.5" customHeight="1">
      <c r="B722" s="54"/>
      <c r="C722" s="38"/>
      <c r="D722" s="55"/>
      <c r="E722" s="56"/>
      <c r="F722" s="55"/>
      <c r="G722" s="55"/>
      <c r="H722" s="56"/>
      <c r="J722" s="57" t="str">
        <f t="shared" si="1"/>
        <v>MirandaLos SaliasSan Antonio De Los Altos</v>
      </c>
      <c r="K722" s="50" t="s">
        <v>231</v>
      </c>
      <c r="L722" s="50" t="s">
        <v>232</v>
      </c>
      <c r="M722" s="50" t="s">
        <v>1841</v>
      </c>
      <c r="N722" s="50" t="s">
        <v>1842</v>
      </c>
      <c r="O722" s="50" t="s">
        <v>1843</v>
      </c>
      <c r="P722" s="50" t="s">
        <v>1844</v>
      </c>
    </row>
    <row r="723" ht="13.5" customHeight="1">
      <c r="B723" s="54"/>
      <c r="C723" s="38"/>
      <c r="D723" s="55"/>
      <c r="E723" s="56"/>
      <c r="F723" s="55"/>
      <c r="G723" s="55"/>
      <c r="H723" s="56"/>
      <c r="J723" s="57" t="str">
        <f t="shared" si="1"/>
        <v>MirandaPáezRio Chico</v>
      </c>
      <c r="K723" s="50" t="s">
        <v>231</v>
      </c>
      <c r="L723" s="50" t="s">
        <v>232</v>
      </c>
      <c r="M723" s="50" t="s">
        <v>1845</v>
      </c>
      <c r="N723" s="50" t="s">
        <v>365</v>
      </c>
      <c r="O723" s="50" t="s">
        <v>1846</v>
      </c>
      <c r="P723" s="50" t="s">
        <v>1847</v>
      </c>
    </row>
    <row r="724" ht="13.5" customHeight="1">
      <c r="B724" s="54"/>
      <c r="C724" s="38"/>
      <c r="D724" s="55"/>
      <c r="E724" s="56"/>
      <c r="F724" s="55"/>
      <c r="G724" s="55"/>
      <c r="H724" s="56"/>
      <c r="J724" s="57" t="str">
        <f t="shared" si="1"/>
        <v>MirandaPáezEl Guapo</v>
      </c>
      <c r="K724" s="50" t="s">
        <v>231</v>
      </c>
      <c r="L724" s="50" t="s">
        <v>232</v>
      </c>
      <c r="M724" s="50" t="s">
        <v>1845</v>
      </c>
      <c r="N724" s="50" t="s">
        <v>365</v>
      </c>
      <c r="O724" s="50" t="s">
        <v>1848</v>
      </c>
      <c r="P724" s="50" t="s">
        <v>1849</v>
      </c>
    </row>
    <row r="725" ht="13.5" customHeight="1">
      <c r="B725" s="54"/>
      <c r="C725" s="38"/>
      <c r="D725" s="55"/>
      <c r="E725" s="56"/>
      <c r="F725" s="55"/>
      <c r="G725" s="55"/>
      <c r="H725" s="56"/>
      <c r="J725" s="57" t="str">
        <f t="shared" si="1"/>
        <v>MirandaPáezTacarigua De La Laguna</v>
      </c>
      <c r="K725" s="50" t="s">
        <v>231</v>
      </c>
      <c r="L725" s="50" t="s">
        <v>232</v>
      </c>
      <c r="M725" s="50" t="s">
        <v>1845</v>
      </c>
      <c r="N725" s="50" t="s">
        <v>365</v>
      </c>
      <c r="O725" s="50" t="s">
        <v>1850</v>
      </c>
      <c r="P725" s="50" t="s">
        <v>1851</v>
      </c>
    </row>
    <row r="726" ht="13.5" customHeight="1">
      <c r="B726" s="54"/>
      <c r="C726" s="38"/>
      <c r="D726" s="55"/>
      <c r="E726" s="56"/>
      <c r="F726" s="55"/>
      <c r="G726" s="55"/>
      <c r="H726" s="56"/>
      <c r="J726" s="57" t="str">
        <f t="shared" si="1"/>
        <v>MirandaPáezPáparo</v>
      </c>
      <c r="K726" s="50" t="s">
        <v>231</v>
      </c>
      <c r="L726" s="50" t="s">
        <v>232</v>
      </c>
      <c r="M726" s="50" t="s">
        <v>1845</v>
      </c>
      <c r="N726" s="50" t="s">
        <v>365</v>
      </c>
      <c r="O726" s="50" t="s">
        <v>1852</v>
      </c>
      <c r="P726" s="50" t="s">
        <v>1853</v>
      </c>
    </row>
    <row r="727" ht="13.5" customHeight="1">
      <c r="B727" s="54"/>
      <c r="C727" s="38"/>
      <c r="D727" s="55"/>
      <c r="E727" s="56"/>
      <c r="F727" s="55"/>
      <c r="G727" s="55"/>
      <c r="H727" s="56"/>
      <c r="J727" s="57" t="str">
        <f t="shared" si="1"/>
        <v>MirandaPáezSan Fernando Del Guapo</v>
      </c>
      <c r="K727" s="50" t="s">
        <v>231</v>
      </c>
      <c r="L727" s="50" t="s">
        <v>232</v>
      </c>
      <c r="M727" s="50" t="s">
        <v>1845</v>
      </c>
      <c r="N727" s="50" t="s">
        <v>365</v>
      </c>
      <c r="O727" s="50" t="s">
        <v>1854</v>
      </c>
      <c r="P727" s="50" t="s">
        <v>1855</v>
      </c>
    </row>
    <row r="728" ht="13.5" customHeight="1">
      <c r="B728" s="54"/>
      <c r="C728" s="38"/>
      <c r="D728" s="55"/>
      <c r="E728" s="56"/>
      <c r="F728" s="55"/>
      <c r="G728" s="55"/>
      <c r="H728" s="56"/>
      <c r="J728" s="57" t="str">
        <f t="shared" si="1"/>
        <v>MirandaPaz CastilloSanta Lucia</v>
      </c>
      <c r="K728" s="50" t="s">
        <v>231</v>
      </c>
      <c r="L728" s="50" t="s">
        <v>232</v>
      </c>
      <c r="M728" s="50" t="s">
        <v>1856</v>
      </c>
      <c r="N728" s="50" t="s">
        <v>1857</v>
      </c>
      <c r="O728" s="50" t="s">
        <v>1858</v>
      </c>
      <c r="P728" s="50" t="s">
        <v>836</v>
      </c>
    </row>
    <row r="729" ht="13.5" customHeight="1">
      <c r="B729" s="54"/>
      <c r="C729" s="38"/>
      <c r="D729" s="55"/>
      <c r="E729" s="56"/>
      <c r="F729" s="55"/>
      <c r="G729" s="55"/>
      <c r="H729" s="56"/>
      <c r="J729" s="57" t="str">
        <f t="shared" si="1"/>
        <v>MirandaPedro GualCupira</v>
      </c>
      <c r="K729" s="50" t="s">
        <v>231</v>
      </c>
      <c r="L729" s="50" t="s">
        <v>232</v>
      </c>
      <c r="M729" s="50" t="s">
        <v>1859</v>
      </c>
      <c r="N729" s="50" t="s">
        <v>1860</v>
      </c>
      <c r="O729" s="50" t="s">
        <v>1861</v>
      </c>
      <c r="P729" s="50" t="s">
        <v>1862</v>
      </c>
    </row>
    <row r="730" ht="13.5" customHeight="1">
      <c r="B730" s="54"/>
      <c r="C730" s="38"/>
      <c r="D730" s="55"/>
      <c r="E730" s="56"/>
      <c r="F730" s="55"/>
      <c r="G730" s="55"/>
      <c r="H730" s="56"/>
      <c r="J730" s="57" t="str">
        <f t="shared" si="1"/>
        <v>MirandaPedro GualMachurucuto</v>
      </c>
      <c r="K730" s="50" t="s">
        <v>231</v>
      </c>
      <c r="L730" s="50" t="s">
        <v>232</v>
      </c>
      <c r="M730" s="50" t="s">
        <v>1859</v>
      </c>
      <c r="N730" s="50" t="s">
        <v>1860</v>
      </c>
      <c r="O730" s="50" t="s">
        <v>1863</v>
      </c>
      <c r="P730" s="50" t="s">
        <v>1864</v>
      </c>
    </row>
    <row r="731" ht="13.5" customHeight="1">
      <c r="B731" s="54"/>
      <c r="C731" s="38"/>
      <c r="D731" s="55"/>
      <c r="E731" s="56"/>
      <c r="F731" s="55"/>
      <c r="G731" s="55"/>
      <c r="H731" s="56"/>
      <c r="J731" s="57" t="str">
        <f t="shared" si="1"/>
        <v>MirandaPlazaGuarenas</v>
      </c>
      <c r="K731" s="50" t="s">
        <v>231</v>
      </c>
      <c r="L731" s="50" t="s">
        <v>232</v>
      </c>
      <c r="M731" s="50" t="s">
        <v>1865</v>
      </c>
      <c r="N731" s="50" t="s">
        <v>1866</v>
      </c>
      <c r="O731" s="50" t="s">
        <v>1867</v>
      </c>
      <c r="P731" s="50" t="s">
        <v>1868</v>
      </c>
    </row>
    <row r="732" ht="13.5" customHeight="1">
      <c r="B732" s="54"/>
      <c r="C732" s="38"/>
      <c r="D732" s="55"/>
      <c r="E732" s="56"/>
      <c r="F732" s="55"/>
      <c r="G732" s="55"/>
      <c r="H732" s="56"/>
      <c r="J732" s="57" t="str">
        <f t="shared" si="1"/>
        <v>MirandaSimón BolívarSan Francisco De Yare</v>
      </c>
      <c r="K732" s="50" t="s">
        <v>231</v>
      </c>
      <c r="L732" s="50" t="s">
        <v>232</v>
      </c>
      <c r="M732" s="50" t="s">
        <v>1869</v>
      </c>
      <c r="N732" s="50" t="s">
        <v>324</v>
      </c>
      <c r="O732" s="50" t="s">
        <v>1870</v>
      </c>
      <c r="P732" s="50" t="s">
        <v>1871</v>
      </c>
    </row>
    <row r="733" ht="13.5" customHeight="1">
      <c r="B733" s="54"/>
      <c r="C733" s="38"/>
      <c r="D733" s="55"/>
      <c r="E733" s="56"/>
      <c r="F733" s="55"/>
      <c r="G733" s="55"/>
      <c r="H733" s="56"/>
      <c r="J733" s="57" t="str">
        <f t="shared" si="1"/>
        <v>MirandaSimón BolívarSan Antonio De Yare</v>
      </c>
      <c r="K733" s="50" t="s">
        <v>231</v>
      </c>
      <c r="L733" s="50" t="s">
        <v>232</v>
      </c>
      <c r="M733" s="50" t="s">
        <v>1869</v>
      </c>
      <c r="N733" s="50" t="s">
        <v>324</v>
      </c>
      <c r="O733" s="50" t="s">
        <v>1872</v>
      </c>
      <c r="P733" s="50" t="s">
        <v>1873</v>
      </c>
    </row>
    <row r="734" ht="13.5" customHeight="1">
      <c r="B734" s="54"/>
      <c r="C734" s="38"/>
      <c r="D734" s="55"/>
      <c r="E734" s="56"/>
      <c r="F734" s="55"/>
      <c r="G734" s="55"/>
      <c r="H734" s="56"/>
      <c r="J734" s="57" t="str">
        <f t="shared" si="1"/>
        <v>MirandaSucrePetare</v>
      </c>
      <c r="K734" s="50" t="s">
        <v>231</v>
      </c>
      <c r="L734" s="50" t="s">
        <v>232</v>
      </c>
      <c r="M734" s="50" t="s">
        <v>1874</v>
      </c>
      <c r="N734" s="50" t="s">
        <v>271</v>
      </c>
      <c r="O734" s="50" t="s">
        <v>1875</v>
      </c>
      <c r="P734" s="50" t="s">
        <v>1876</v>
      </c>
    </row>
    <row r="735" ht="13.5" customHeight="1">
      <c r="B735" s="54"/>
      <c r="C735" s="38"/>
      <c r="D735" s="55"/>
      <c r="E735" s="56"/>
      <c r="F735" s="55"/>
      <c r="G735" s="55"/>
      <c r="H735" s="56"/>
      <c r="J735" s="57" t="str">
        <f t="shared" si="1"/>
        <v>MirandaSucreCaucaguita</v>
      </c>
      <c r="K735" s="50" t="s">
        <v>231</v>
      </c>
      <c r="L735" s="50" t="s">
        <v>232</v>
      </c>
      <c r="M735" s="50" t="s">
        <v>1874</v>
      </c>
      <c r="N735" s="50" t="s">
        <v>271</v>
      </c>
      <c r="O735" s="50" t="s">
        <v>1877</v>
      </c>
      <c r="P735" s="50" t="s">
        <v>1878</v>
      </c>
    </row>
    <row r="736" ht="13.5" customHeight="1">
      <c r="B736" s="54"/>
      <c r="C736" s="38"/>
      <c r="D736" s="55"/>
      <c r="E736" s="56"/>
      <c r="F736" s="55"/>
      <c r="G736" s="55"/>
      <c r="H736" s="56"/>
      <c r="J736" s="57" t="str">
        <f t="shared" si="1"/>
        <v>MirandaSucreFilas De Mariches</v>
      </c>
      <c r="K736" s="50" t="s">
        <v>231</v>
      </c>
      <c r="L736" s="50" t="s">
        <v>232</v>
      </c>
      <c r="M736" s="50" t="s">
        <v>1874</v>
      </c>
      <c r="N736" s="50" t="s">
        <v>271</v>
      </c>
      <c r="O736" s="50" t="s">
        <v>1879</v>
      </c>
      <c r="P736" s="50" t="s">
        <v>1880</v>
      </c>
    </row>
    <row r="737" ht="13.5" customHeight="1">
      <c r="B737" s="54"/>
      <c r="C737" s="38"/>
      <c r="D737" s="55"/>
      <c r="E737" s="56"/>
      <c r="F737" s="55"/>
      <c r="G737" s="55"/>
      <c r="H737" s="56"/>
      <c r="J737" s="57" t="str">
        <f t="shared" si="1"/>
        <v>MirandaSucreLa Dolorita</v>
      </c>
      <c r="K737" s="50" t="s">
        <v>231</v>
      </c>
      <c r="L737" s="50" t="s">
        <v>232</v>
      </c>
      <c r="M737" s="50" t="s">
        <v>1874</v>
      </c>
      <c r="N737" s="50" t="s">
        <v>271</v>
      </c>
      <c r="O737" s="50" t="s">
        <v>1881</v>
      </c>
      <c r="P737" s="50" t="s">
        <v>1882</v>
      </c>
    </row>
    <row r="738" ht="13.5" customHeight="1">
      <c r="B738" s="54"/>
      <c r="C738" s="38"/>
      <c r="D738" s="55"/>
      <c r="E738" s="56"/>
      <c r="F738" s="55"/>
      <c r="G738" s="55"/>
      <c r="H738" s="56"/>
      <c r="J738" s="57" t="str">
        <f t="shared" si="1"/>
        <v>MirandaSucreLeoncio Martínez</v>
      </c>
      <c r="K738" s="50" t="s">
        <v>231</v>
      </c>
      <c r="L738" s="50" t="s">
        <v>232</v>
      </c>
      <c r="M738" s="50" t="s">
        <v>1874</v>
      </c>
      <c r="N738" s="50" t="s">
        <v>271</v>
      </c>
      <c r="O738" s="50" t="s">
        <v>1883</v>
      </c>
      <c r="P738" s="50" t="s">
        <v>1884</v>
      </c>
    </row>
    <row r="739" ht="13.5" customHeight="1">
      <c r="B739" s="54"/>
      <c r="C739" s="38"/>
      <c r="D739" s="55"/>
      <c r="E739" s="56"/>
      <c r="F739" s="55"/>
      <c r="G739" s="55"/>
      <c r="H739" s="56"/>
      <c r="J739" s="57" t="str">
        <f t="shared" si="1"/>
        <v>MirandaUrdanetaCua</v>
      </c>
      <c r="K739" s="50" t="s">
        <v>231</v>
      </c>
      <c r="L739" s="50" t="s">
        <v>232</v>
      </c>
      <c r="M739" s="50" t="s">
        <v>1885</v>
      </c>
      <c r="N739" s="50" t="s">
        <v>434</v>
      </c>
      <c r="O739" s="50" t="s">
        <v>1886</v>
      </c>
      <c r="P739" s="50" t="s">
        <v>1887</v>
      </c>
    </row>
    <row r="740" ht="13.5" customHeight="1">
      <c r="B740" s="54"/>
      <c r="C740" s="38"/>
      <c r="D740" s="55"/>
      <c r="E740" s="56"/>
      <c r="F740" s="55"/>
      <c r="G740" s="55"/>
      <c r="H740" s="56"/>
      <c r="J740" s="57" t="str">
        <f t="shared" si="1"/>
        <v>MirandaUrdanetaNueva Cua</v>
      </c>
      <c r="K740" s="50" t="s">
        <v>231</v>
      </c>
      <c r="L740" s="50" t="s">
        <v>232</v>
      </c>
      <c r="M740" s="50" t="s">
        <v>1885</v>
      </c>
      <c r="N740" s="50" t="s">
        <v>434</v>
      </c>
      <c r="O740" s="50" t="s">
        <v>1888</v>
      </c>
      <c r="P740" s="50" t="s">
        <v>1889</v>
      </c>
    </row>
    <row r="741" ht="13.5" customHeight="1">
      <c r="B741" s="54"/>
      <c r="C741" s="38"/>
      <c r="D741" s="55"/>
      <c r="E741" s="56"/>
      <c r="F741" s="55"/>
      <c r="G741" s="55"/>
      <c r="H741" s="56"/>
      <c r="J741" s="57" t="str">
        <f t="shared" si="1"/>
        <v>MirandaZamoraGuatire</v>
      </c>
      <c r="K741" s="50" t="s">
        <v>231</v>
      </c>
      <c r="L741" s="50" t="s">
        <v>232</v>
      </c>
      <c r="M741" s="50" t="s">
        <v>1890</v>
      </c>
      <c r="N741" s="50" t="s">
        <v>438</v>
      </c>
      <c r="O741" s="50" t="s">
        <v>1891</v>
      </c>
      <c r="P741" s="50" t="s">
        <v>1892</v>
      </c>
    </row>
    <row r="742" ht="13.5" customHeight="1">
      <c r="B742" s="54"/>
      <c r="C742" s="38"/>
      <c r="D742" s="55"/>
      <c r="E742" s="56"/>
      <c r="F742" s="55"/>
      <c r="G742" s="55"/>
      <c r="H742" s="56"/>
      <c r="J742" s="57" t="str">
        <f t="shared" si="1"/>
        <v>MirandaZamoraBolívar</v>
      </c>
      <c r="K742" s="50" t="s">
        <v>231</v>
      </c>
      <c r="L742" s="50" t="s">
        <v>232</v>
      </c>
      <c r="M742" s="50" t="s">
        <v>1890</v>
      </c>
      <c r="N742" s="50" t="s">
        <v>438</v>
      </c>
      <c r="O742" s="50" t="s">
        <v>1893</v>
      </c>
      <c r="P742" s="50" t="s">
        <v>129</v>
      </c>
    </row>
    <row r="743" ht="13.5" customHeight="1">
      <c r="B743" s="54"/>
      <c r="C743" s="38"/>
      <c r="D743" s="55"/>
      <c r="E743" s="56"/>
      <c r="F743" s="55"/>
      <c r="G743" s="55"/>
      <c r="H743" s="56"/>
      <c r="J743" s="57" t="str">
        <f t="shared" si="1"/>
        <v>MonagasAcostaCapital Acosta</v>
      </c>
      <c r="K743" s="50" t="s">
        <v>242</v>
      </c>
      <c r="L743" s="50" t="s">
        <v>243</v>
      </c>
      <c r="M743" s="50" t="s">
        <v>1894</v>
      </c>
      <c r="N743" s="50" t="s">
        <v>459</v>
      </c>
      <c r="O743" s="50" t="s">
        <v>1895</v>
      </c>
      <c r="P743" s="50" t="s">
        <v>1896</v>
      </c>
    </row>
    <row r="744" ht="13.5" customHeight="1">
      <c r="B744" s="54"/>
      <c r="C744" s="38"/>
      <c r="D744" s="55"/>
      <c r="E744" s="56"/>
      <c r="F744" s="55"/>
      <c r="G744" s="55"/>
      <c r="H744" s="56"/>
      <c r="J744" s="57" t="str">
        <f t="shared" si="1"/>
        <v>MonagasAcostaSan Francisco</v>
      </c>
      <c r="K744" s="50" t="s">
        <v>242</v>
      </c>
      <c r="L744" s="50" t="s">
        <v>243</v>
      </c>
      <c r="M744" s="50" t="s">
        <v>1894</v>
      </c>
      <c r="N744" s="50" t="s">
        <v>459</v>
      </c>
      <c r="O744" s="50" t="s">
        <v>1897</v>
      </c>
      <c r="P744" s="50" t="s">
        <v>638</v>
      </c>
    </row>
    <row r="745" ht="13.5" customHeight="1">
      <c r="B745" s="54"/>
      <c r="C745" s="38"/>
      <c r="D745" s="55"/>
      <c r="E745" s="56"/>
      <c r="F745" s="55"/>
      <c r="G745" s="55"/>
      <c r="H745" s="56"/>
      <c r="J745" s="57" t="str">
        <f t="shared" si="1"/>
        <v>MonagasAguasayAguasay</v>
      </c>
      <c r="K745" s="50" t="s">
        <v>242</v>
      </c>
      <c r="L745" s="50" t="s">
        <v>243</v>
      </c>
      <c r="M745" s="50" t="s">
        <v>1898</v>
      </c>
      <c r="N745" s="50" t="s">
        <v>471</v>
      </c>
      <c r="O745" s="50" t="s">
        <v>1899</v>
      </c>
      <c r="P745" s="50" t="s">
        <v>471</v>
      </c>
    </row>
    <row r="746" ht="13.5" customHeight="1">
      <c r="B746" s="54"/>
      <c r="C746" s="38"/>
      <c r="D746" s="55"/>
      <c r="E746" s="56"/>
      <c r="F746" s="55"/>
      <c r="G746" s="55"/>
      <c r="H746" s="56"/>
      <c r="J746" s="57" t="str">
        <f t="shared" si="1"/>
        <v>MonagasBolívarBolívar</v>
      </c>
      <c r="K746" s="50" t="s">
        <v>242</v>
      </c>
      <c r="L746" s="50" t="s">
        <v>243</v>
      </c>
      <c r="M746" s="50" t="s">
        <v>1900</v>
      </c>
      <c r="N746" s="50" t="s">
        <v>129</v>
      </c>
      <c r="O746" s="50" t="s">
        <v>1901</v>
      </c>
      <c r="P746" s="50" t="s">
        <v>129</v>
      </c>
    </row>
    <row r="747" ht="13.5" customHeight="1">
      <c r="B747" s="54"/>
      <c r="C747" s="38"/>
      <c r="D747" s="55"/>
      <c r="E747" s="56"/>
      <c r="F747" s="55"/>
      <c r="G747" s="55"/>
      <c r="H747" s="56"/>
      <c r="J747" s="57" t="str">
        <f t="shared" si="1"/>
        <v>MonagasCaripeCapital Caripe</v>
      </c>
      <c r="K747" s="50" t="s">
        <v>242</v>
      </c>
      <c r="L747" s="50" t="s">
        <v>243</v>
      </c>
      <c r="M747" s="50" t="s">
        <v>1902</v>
      </c>
      <c r="N747" s="50" t="s">
        <v>490</v>
      </c>
      <c r="O747" s="50" t="s">
        <v>1903</v>
      </c>
      <c r="P747" s="50" t="s">
        <v>1904</v>
      </c>
    </row>
    <row r="748" ht="13.5" customHeight="1">
      <c r="B748" s="54"/>
      <c r="C748" s="38"/>
      <c r="D748" s="55"/>
      <c r="E748" s="56"/>
      <c r="F748" s="55"/>
      <c r="G748" s="55"/>
      <c r="H748" s="56"/>
      <c r="J748" s="57" t="str">
        <f t="shared" si="1"/>
        <v>MonagasCaripeEl Guácharo</v>
      </c>
      <c r="K748" s="50" t="s">
        <v>242</v>
      </c>
      <c r="L748" s="50" t="s">
        <v>243</v>
      </c>
      <c r="M748" s="50" t="s">
        <v>1902</v>
      </c>
      <c r="N748" s="50" t="s">
        <v>490</v>
      </c>
      <c r="O748" s="50" t="s">
        <v>1905</v>
      </c>
      <c r="P748" s="50" t="s">
        <v>1906</v>
      </c>
    </row>
    <row r="749" ht="13.5" customHeight="1">
      <c r="B749" s="54"/>
      <c r="C749" s="38"/>
      <c r="D749" s="55"/>
      <c r="E749" s="56"/>
      <c r="F749" s="55"/>
      <c r="G749" s="55"/>
      <c r="H749" s="56"/>
      <c r="J749" s="57" t="str">
        <f t="shared" si="1"/>
        <v>MonagasCaripeLa Guanota</v>
      </c>
      <c r="K749" s="50" t="s">
        <v>242</v>
      </c>
      <c r="L749" s="50" t="s">
        <v>243</v>
      </c>
      <c r="M749" s="50" t="s">
        <v>1902</v>
      </c>
      <c r="N749" s="50" t="s">
        <v>490</v>
      </c>
      <c r="O749" s="50" t="s">
        <v>1907</v>
      </c>
      <c r="P749" s="50" t="s">
        <v>1908</v>
      </c>
    </row>
    <row r="750" ht="13.5" customHeight="1">
      <c r="B750" s="54"/>
      <c r="C750" s="38"/>
      <c r="D750" s="55"/>
      <c r="E750" s="56"/>
      <c r="F750" s="55"/>
      <c r="G750" s="55"/>
      <c r="H750" s="56"/>
      <c r="J750" s="57" t="str">
        <f t="shared" si="1"/>
        <v>MonagasCaripeSabana De Piedra</v>
      </c>
      <c r="K750" s="50" t="s">
        <v>242</v>
      </c>
      <c r="L750" s="50" t="s">
        <v>243</v>
      </c>
      <c r="M750" s="50" t="s">
        <v>1902</v>
      </c>
      <c r="N750" s="50" t="s">
        <v>490</v>
      </c>
      <c r="O750" s="50" t="s">
        <v>1909</v>
      </c>
      <c r="P750" s="50" t="s">
        <v>1910</v>
      </c>
    </row>
    <row r="751" ht="13.5" customHeight="1">
      <c r="B751" s="54"/>
      <c r="C751" s="38"/>
      <c r="D751" s="55"/>
      <c r="E751" s="56"/>
      <c r="F751" s="55"/>
      <c r="G751" s="55"/>
      <c r="H751" s="56"/>
      <c r="J751" s="57" t="str">
        <f t="shared" si="1"/>
        <v>MonagasCaripeSan Agustín</v>
      </c>
      <c r="K751" s="50" t="s">
        <v>242</v>
      </c>
      <c r="L751" s="50" t="s">
        <v>243</v>
      </c>
      <c r="M751" s="50" t="s">
        <v>1902</v>
      </c>
      <c r="N751" s="50" t="s">
        <v>490</v>
      </c>
      <c r="O751" s="50" t="s">
        <v>1911</v>
      </c>
      <c r="P751" s="50" t="s">
        <v>225</v>
      </c>
    </row>
    <row r="752" ht="13.5" customHeight="1">
      <c r="B752" s="54"/>
      <c r="C752" s="38"/>
      <c r="D752" s="55"/>
      <c r="E752" s="56"/>
      <c r="F752" s="55"/>
      <c r="G752" s="55"/>
      <c r="H752" s="56"/>
      <c r="J752" s="57" t="str">
        <f t="shared" si="1"/>
        <v>MonagasCaripeTeresen</v>
      </c>
      <c r="K752" s="50" t="s">
        <v>242</v>
      </c>
      <c r="L752" s="50" t="s">
        <v>243</v>
      </c>
      <c r="M752" s="50" t="s">
        <v>1902</v>
      </c>
      <c r="N752" s="50" t="s">
        <v>490</v>
      </c>
      <c r="O752" s="50" t="s">
        <v>1912</v>
      </c>
      <c r="P752" s="50" t="s">
        <v>1913</v>
      </c>
    </row>
    <row r="753" ht="13.5" customHeight="1">
      <c r="B753" s="54"/>
      <c r="C753" s="38"/>
      <c r="D753" s="55"/>
      <c r="E753" s="56"/>
      <c r="F753" s="55"/>
      <c r="G753" s="55"/>
      <c r="H753" s="56"/>
      <c r="J753" s="57" t="str">
        <f t="shared" si="1"/>
        <v>MonagasCedeñoCapital Cedeño</v>
      </c>
      <c r="K753" s="50" t="s">
        <v>242</v>
      </c>
      <c r="L753" s="50" t="s">
        <v>243</v>
      </c>
      <c r="M753" s="50" t="s">
        <v>1914</v>
      </c>
      <c r="N753" s="50" t="s">
        <v>468</v>
      </c>
      <c r="O753" s="50" t="s">
        <v>1915</v>
      </c>
      <c r="P753" s="50" t="s">
        <v>1916</v>
      </c>
    </row>
    <row r="754" ht="13.5" customHeight="1">
      <c r="B754" s="54"/>
      <c r="C754" s="38"/>
      <c r="D754" s="55"/>
      <c r="E754" s="56"/>
      <c r="F754" s="55"/>
      <c r="G754" s="55"/>
      <c r="H754" s="56"/>
      <c r="J754" s="57" t="str">
        <f t="shared" si="1"/>
        <v>MonagasCedeñoAreo</v>
      </c>
      <c r="K754" s="50" t="s">
        <v>242</v>
      </c>
      <c r="L754" s="50" t="s">
        <v>243</v>
      </c>
      <c r="M754" s="50" t="s">
        <v>1914</v>
      </c>
      <c r="N754" s="50" t="s">
        <v>468</v>
      </c>
      <c r="O754" s="50" t="s">
        <v>1917</v>
      </c>
      <c r="P754" s="50" t="s">
        <v>1918</v>
      </c>
    </row>
    <row r="755" ht="13.5" customHeight="1">
      <c r="B755" s="54"/>
      <c r="C755" s="38"/>
      <c r="D755" s="55"/>
      <c r="E755" s="56"/>
      <c r="F755" s="55"/>
      <c r="G755" s="55"/>
      <c r="H755" s="56"/>
      <c r="J755" s="57" t="str">
        <f t="shared" si="1"/>
        <v>MonagasCedeñoSan Félix</v>
      </c>
      <c r="K755" s="50" t="s">
        <v>242</v>
      </c>
      <c r="L755" s="50" t="s">
        <v>243</v>
      </c>
      <c r="M755" s="50" t="s">
        <v>1914</v>
      </c>
      <c r="N755" s="50" t="s">
        <v>468</v>
      </c>
      <c r="O755" s="50" t="s">
        <v>1919</v>
      </c>
      <c r="P755" s="50" t="s">
        <v>1291</v>
      </c>
    </row>
    <row r="756" ht="13.5" customHeight="1">
      <c r="B756" s="54"/>
      <c r="C756" s="38"/>
      <c r="D756" s="55"/>
      <c r="E756" s="56"/>
      <c r="F756" s="55"/>
      <c r="G756" s="55"/>
      <c r="H756" s="56"/>
      <c r="J756" s="57" t="str">
        <f t="shared" si="1"/>
        <v>MonagasCedeñoViento Fresco</v>
      </c>
      <c r="K756" s="50" t="s">
        <v>242</v>
      </c>
      <c r="L756" s="50" t="s">
        <v>243</v>
      </c>
      <c r="M756" s="50" t="s">
        <v>1914</v>
      </c>
      <c r="N756" s="50" t="s">
        <v>468</v>
      </c>
      <c r="O756" s="50" t="s">
        <v>1920</v>
      </c>
      <c r="P756" s="50" t="s">
        <v>1921</v>
      </c>
    </row>
    <row r="757" ht="13.5" customHeight="1">
      <c r="B757" s="54"/>
      <c r="C757" s="38"/>
      <c r="D757" s="55"/>
      <c r="E757" s="56"/>
      <c r="F757" s="55"/>
      <c r="G757" s="55"/>
      <c r="H757" s="56"/>
      <c r="J757" s="57" t="str">
        <f t="shared" si="1"/>
        <v>MonagasEzequiel ZamoraCapital Ezequiel Zamora</v>
      </c>
      <c r="K757" s="50" t="s">
        <v>242</v>
      </c>
      <c r="L757" s="50" t="s">
        <v>243</v>
      </c>
      <c r="M757" s="50" t="s">
        <v>1922</v>
      </c>
      <c r="N757" s="50" t="s">
        <v>510</v>
      </c>
      <c r="O757" s="50" t="s">
        <v>1923</v>
      </c>
      <c r="P757" s="50" t="s">
        <v>1924</v>
      </c>
    </row>
    <row r="758" ht="13.5" customHeight="1">
      <c r="B758" s="54"/>
      <c r="C758" s="38"/>
      <c r="D758" s="55"/>
      <c r="E758" s="56"/>
      <c r="F758" s="55"/>
      <c r="G758" s="55"/>
      <c r="H758" s="56"/>
      <c r="J758" s="57" t="str">
        <f t="shared" si="1"/>
        <v>MonagasEzequiel ZamoraEl Tejero</v>
      </c>
      <c r="K758" s="50" t="s">
        <v>242</v>
      </c>
      <c r="L758" s="50" t="s">
        <v>243</v>
      </c>
      <c r="M758" s="50" t="s">
        <v>1922</v>
      </c>
      <c r="N758" s="50" t="s">
        <v>510</v>
      </c>
      <c r="O758" s="50" t="s">
        <v>1925</v>
      </c>
      <c r="P758" s="50" t="s">
        <v>1926</v>
      </c>
    </row>
    <row r="759" ht="13.5" customHeight="1">
      <c r="B759" s="54"/>
      <c r="C759" s="38"/>
      <c r="D759" s="55"/>
      <c r="E759" s="56"/>
      <c r="F759" s="55"/>
      <c r="G759" s="55"/>
      <c r="H759" s="56"/>
      <c r="J759" s="57" t="str">
        <f t="shared" si="1"/>
        <v>MonagasLibertadorCapital Libertador</v>
      </c>
      <c r="K759" s="50" t="s">
        <v>242</v>
      </c>
      <c r="L759" s="50" t="s">
        <v>243</v>
      </c>
      <c r="M759" s="50" t="s">
        <v>1927</v>
      </c>
      <c r="N759" s="50" t="s">
        <v>34</v>
      </c>
      <c r="O759" s="50" t="s">
        <v>1928</v>
      </c>
      <c r="P759" s="50" t="s">
        <v>1929</v>
      </c>
    </row>
    <row r="760" ht="13.5" customHeight="1">
      <c r="B760" s="54"/>
      <c r="C760" s="38"/>
      <c r="D760" s="55"/>
      <c r="E760" s="56"/>
      <c r="F760" s="55"/>
      <c r="G760" s="55"/>
      <c r="H760" s="56"/>
      <c r="J760" s="57" t="str">
        <f t="shared" si="1"/>
        <v>MonagasLibertadorChaguaramas</v>
      </c>
      <c r="K760" s="50" t="s">
        <v>242</v>
      </c>
      <c r="L760" s="50" t="s">
        <v>243</v>
      </c>
      <c r="M760" s="50" t="s">
        <v>1927</v>
      </c>
      <c r="N760" s="50" t="s">
        <v>34</v>
      </c>
      <c r="O760" s="50" t="s">
        <v>1930</v>
      </c>
      <c r="P760" s="50" t="s">
        <v>474</v>
      </c>
    </row>
    <row r="761" ht="13.5" customHeight="1">
      <c r="B761" s="54"/>
      <c r="C761" s="38"/>
      <c r="D761" s="55"/>
      <c r="E761" s="56"/>
      <c r="F761" s="55"/>
      <c r="G761" s="55"/>
      <c r="H761" s="56"/>
      <c r="J761" s="57" t="str">
        <f t="shared" si="1"/>
        <v>MonagasLibertadorLas Alhuacas</v>
      </c>
      <c r="K761" s="50" t="s">
        <v>242</v>
      </c>
      <c r="L761" s="50" t="s">
        <v>243</v>
      </c>
      <c r="M761" s="50" t="s">
        <v>1927</v>
      </c>
      <c r="N761" s="50" t="s">
        <v>34</v>
      </c>
      <c r="O761" s="50" t="s">
        <v>1931</v>
      </c>
      <c r="P761" s="50" t="s">
        <v>1932</v>
      </c>
    </row>
    <row r="762" ht="13.5" customHeight="1">
      <c r="B762" s="54"/>
      <c r="C762" s="38"/>
      <c r="D762" s="55"/>
      <c r="E762" s="56"/>
      <c r="F762" s="55"/>
      <c r="G762" s="55"/>
      <c r="H762" s="56"/>
      <c r="J762" s="57" t="str">
        <f t="shared" si="1"/>
        <v>MonagasLibertadorTabasca</v>
      </c>
      <c r="K762" s="50" t="s">
        <v>242</v>
      </c>
      <c r="L762" s="50" t="s">
        <v>243</v>
      </c>
      <c r="M762" s="50" t="s">
        <v>1927</v>
      </c>
      <c r="N762" s="50" t="s">
        <v>34</v>
      </c>
      <c r="O762" s="50" t="s">
        <v>1933</v>
      </c>
      <c r="P762" s="50" t="s">
        <v>1934</v>
      </c>
    </row>
    <row r="763" ht="13.5" customHeight="1">
      <c r="B763" s="54"/>
      <c r="C763" s="38"/>
      <c r="D763" s="55"/>
      <c r="E763" s="56"/>
      <c r="F763" s="55"/>
      <c r="G763" s="55"/>
      <c r="H763" s="56"/>
      <c r="J763" s="57" t="str">
        <f t="shared" si="1"/>
        <v>MonagasMaturínCapital Maturín</v>
      </c>
      <c r="K763" s="50" t="s">
        <v>242</v>
      </c>
      <c r="L763" s="50" t="s">
        <v>243</v>
      </c>
      <c r="M763" s="50" t="s">
        <v>1935</v>
      </c>
      <c r="N763" s="50" t="s">
        <v>528</v>
      </c>
      <c r="O763" s="50" t="s">
        <v>1936</v>
      </c>
      <c r="P763" s="50" t="s">
        <v>1937</v>
      </c>
    </row>
    <row r="764" ht="13.5" customHeight="1">
      <c r="B764" s="54"/>
      <c r="C764" s="38"/>
      <c r="D764" s="55"/>
      <c r="E764" s="56"/>
      <c r="F764" s="55"/>
      <c r="G764" s="55"/>
      <c r="H764" s="56"/>
      <c r="J764" s="57" t="str">
        <f t="shared" si="1"/>
        <v>MonagasMaturínAlto De Los Godos</v>
      </c>
      <c r="K764" s="50" t="s">
        <v>242</v>
      </c>
      <c r="L764" s="50" t="s">
        <v>243</v>
      </c>
      <c r="M764" s="50" t="s">
        <v>1935</v>
      </c>
      <c r="N764" s="50" t="s">
        <v>528</v>
      </c>
      <c r="O764" s="50" t="s">
        <v>1938</v>
      </c>
      <c r="P764" s="50" t="s">
        <v>1939</v>
      </c>
    </row>
    <row r="765" ht="13.5" customHeight="1">
      <c r="B765" s="54"/>
      <c r="C765" s="38"/>
      <c r="D765" s="55"/>
      <c r="E765" s="56"/>
      <c r="F765" s="55"/>
      <c r="G765" s="55"/>
      <c r="H765" s="56"/>
      <c r="J765" s="57" t="str">
        <f t="shared" si="1"/>
        <v>MonagasMaturínBoquerón</v>
      </c>
      <c r="K765" s="50" t="s">
        <v>242</v>
      </c>
      <c r="L765" s="50" t="s">
        <v>243</v>
      </c>
      <c r="M765" s="50" t="s">
        <v>1935</v>
      </c>
      <c r="N765" s="50" t="s">
        <v>528</v>
      </c>
      <c r="O765" s="50" t="s">
        <v>1940</v>
      </c>
      <c r="P765" s="50" t="s">
        <v>1941</v>
      </c>
    </row>
    <row r="766" ht="13.5" customHeight="1">
      <c r="B766" s="54"/>
      <c r="C766" s="38"/>
      <c r="D766" s="55"/>
      <c r="E766" s="56"/>
      <c r="F766" s="55"/>
      <c r="G766" s="55"/>
      <c r="H766" s="56"/>
      <c r="J766" s="57" t="str">
        <f t="shared" si="1"/>
        <v>MonagasMaturínLas Cocuizas</v>
      </c>
      <c r="K766" s="50" t="s">
        <v>242</v>
      </c>
      <c r="L766" s="50" t="s">
        <v>243</v>
      </c>
      <c r="M766" s="50" t="s">
        <v>1935</v>
      </c>
      <c r="N766" s="50" t="s">
        <v>528</v>
      </c>
      <c r="O766" s="50" t="s">
        <v>1942</v>
      </c>
      <c r="P766" s="50" t="s">
        <v>1943</v>
      </c>
    </row>
    <row r="767" ht="13.5" customHeight="1">
      <c r="B767" s="54"/>
      <c r="C767" s="38"/>
      <c r="D767" s="55"/>
      <c r="E767" s="56"/>
      <c r="F767" s="55"/>
      <c r="G767" s="55"/>
      <c r="H767" s="56"/>
      <c r="J767" s="57" t="str">
        <f t="shared" si="1"/>
        <v>MonagasMaturínSan Simón</v>
      </c>
      <c r="K767" s="50" t="s">
        <v>242</v>
      </c>
      <c r="L767" s="50" t="s">
        <v>243</v>
      </c>
      <c r="M767" s="50" t="s">
        <v>1935</v>
      </c>
      <c r="N767" s="50" t="s">
        <v>528</v>
      </c>
      <c r="O767" s="50" t="s">
        <v>1944</v>
      </c>
      <c r="P767" s="50" t="s">
        <v>1945</v>
      </c>
    </row>
    <row r="768" ht="13.5" customHeight="1">
      <c r="B768" s="54"/>
      <c r="C768" s="38"/>
      <c r="D768" s="55"/>
      <c r="E768" s="56"/>
      <c r="F768" s="55"/>
      <c r="G768" s="55"/>
      <c r="H768" s="56"/>
      <c r="J768" s="57" t="str">
        <f t="shared" si="1"/>
        <v>MonagasMaturínSanta Cruz</v>
      </c>
      <c r="K768" s="50" t="s">
        <v>242</v>
      </c>
      <c r="L768" s="50" t="s">
        <v>243</v>
      </c>
      <c r="M768" s="50" t="s">
        <v>1935</v>
      </c>
      <c r="N768" s="50" t="s">
        <v>528</v>
      </c>
      <c r="O768" s="50" t="s">
        <v>1946</v>
      </c>
      <c r="P768" s="50" t="s">
        <v>1947</v>
      </c>
    </row>
    <row r="769" ht="13.5" customHeight="1">
      <c r="B769" s="54"/>
      <c r="C769" s="38"/>
      <c r="D769" s="55"/>
      <c r="E769" s="56"/>
      <c r="F769" s="55"/>
      <c r="G769" s="55"/>
      <c r="H769" s="56"/>
      <c r="J769" s="57" t="str">
        <f t="shared" si="1"/>
        <v>MonagasMaturínEl Corozo</v>
      </c>
      <c r="K769" s="50" t="s">
        <v>242</v>
      </c>
      <c r="L769" s="50" t="s">
        <v>243</v>
      </c>
      <c r="M769" s="50" t="s">
        <v>1935</v>
      </c>
      <c r="N769" s="50" t="s">
        <v>528</v>
      </c>
      <c r="O769" s="50" t="s">
        <v>1948</v>
      </c>
      <c r="P769" s="50" t="s">
        <v>1949</v>
      </c>
    </row>
    <row r="770" ht="13.5" customHeight="1">
      <c r="B770" s="54"/>
      <c r="C770" s="38"/>
      <c r="D770" s="55"/>
      <c r="E770" s="56"/>
      <c r="F770" s="55"/>
      <c r="G770" s="55"/>
      <c r="H770" s="56"/>
      <c r="J770" s="57" t="str">
        <f t="shared" si="1"/>
        <v>MonagasMaturínEl Furrial</v>
      </c>
      <c r="K770" s="50" t="s">
        <v>242</v>
      </c>
      <c r="L770" s="50" t="s">
        <v>243</v>
      </c>
      <c r="M770" s="50" t="s">
        <v>1935</v>
      </c>
      <c r="N770" s="50" t="s">
        <v>528</v>
      </c>
      <c r="O770" s="50" t="s">
        <v>1950</v>
      </c>
      <c r="P770" s="50" t="s">
        <v>1951</v>
      </c>
    </row>
    <row r="771" ht="13.5" customHeight="1">
      <c r="B771" s="54"/>
      <c r="C771" s="38"/>
      <c r="D771" s="55"/>
      <c r="E771" s="56"/>
      <c r="F771" s="55"/>
      <c r="G771" s="55"/>
      <c r="H771" s="56"/>
      <c r="J771" s="57" t="str">
        <f t="shared" si="1"/>
        <v>MonagasMaturínJusepín</v>
      </c>
      <c r="K771" s="50" t="s">
        <v>242</v>
      </c>
      <c r="L771" s="50" t="s">
        <v>243</v>
      </c>
      <c r="M771" s="50" t="s">
        <v>1935</v>
      </c>
      <c r="N771" s="50" t="s">
        <v>528</v>
      </c>
      <c r="O771" s="50" t="s">
        <v>1952</v>
      </c>
      <c r="P771" s="50" t="s">
        <v>1953</v>
      </c>
    </row>
    <row r="772" ht="13.5" customHeight="1">
      <c r="B772" s="54"/>
      <c r="C772" s="38"/>
      <c r="D772" s="55"/>
      <c r="E772" s="56"/>
      <c r="F772" s="55"/>
      <c r="G772" s="55"/>
      <c r="H772" s="56"/>
      <c r="J772" s="57" t="str">
        <f t="shared" si="1"/>
        <v>MonagasMaturínLa Pica</v>
      </c>
      <c r="K772" s="50" t="s">
        <v>242</v>
      </c>
      <c r="L772" s="50" t="s">
        <v>243</v>
      </c>
      <c r="M772" s="50" t="s">
        <v>1935</v>
      </c>
      <c r="N772" s="50" t="s">
        <v>528</v>
      </c>
      <c r="O772" s="50" t="s">
        <v>1954</v>
      </c>
      <c r="P772" s="50" t="s">
        <v>1955</v>
      </c>
    </row>
    <row r="773" ht="13.5" customHeight="1">
      <c r="B773" s="54"/>
      <c r="C773" s="38"/>
      <c r="D773" s="55"/>
      <c r="E773" s="56"/>
      <c r="F773" s="55"/>
      <c r="G773" s="55"/>
      <c r="H773" s="56"/>
      <c r="J773" s="57" t="str">
        <f t="shared" si="1"/>
        <v>MonagasMaturínSan Vicente</v>
      </c>
      <c r="K773" s="50" t="s">
        <v>242</v>
      </c>
      <c r="L773" s="50" t="s">
        <v>243</v>
      </c>
      <c r="M773" s="50" t="s">
        <v>1935</v>
      </c>
      <c r="N773" s="50" t="s">
        <v>528</v>
      </c>
      <c r="O773" s="50" t="s">
        <v>1956</v>
      </c>
      <c r="P773" s="50" t="s">
        <v>695</v>
      </c>
    </row>
    <row r="774" ht="13.5" customHeight="1">
      <c r="B774" s="54"/>
      <c r="C774" s="38"/>
      <c r="D774" s="55"/>
      <c r="E774" s="56"/>
      <c r="F774" s="55"/>
      <c r="G774" s="55"/>
      <c r="H774" s="56"/>
      <c r="J774" s="57" t="str">
        <f t="shared" si="1"/>
        <v>MonagasPiarCapital Piar</v>
      </c>
      <c r="K774" s="50" t="s">
        <v>242</v>
      </c>
      <c r="L774" s="50" t="s">
        <v>243</v>
      </c>
      <c r="M774" s="50" t="s">
        <v>1957</v>
      </c>
      <c r="N774" s="50" t="s">
        <v>507</v>
      </c>
      <c r="O774" s="50" t="s">
        <v>1958</v>
      </c>
      <c r="P774" s="50" t="s">
        <v>1959</v>
      </c>
    </row>
    <row r="775" ht="13.5" customHeight="1">
      <c r="B775" s="54"/>
      <c r="C775" s="38"/>
      <c r="D775" s="55"/>
      <c r="E775" s="56"/>
      <c r="F775" s="55"/>
      <c r="G775" s="55"/>
      <c r="H775" s="56"/>
      <c r="J775" s="57" t="str">
        <f t="shared" si="1"/>
        <v>MonagasPiarAparicio</v>
      </c>
      <c r="K775" s="50" t="s">
        <v>242</v>
      </c>
      <c r="L775" s="50" t="s">
        <v>243</v>
      </c>
      <c r="M775" s="50" t="s">
        <v>1957</v>
      </c>
      <c r="N775" s="50" t="s">
        <v>507</v>
      </c>
      <c r="O775" s="50" t="s">
        <v>1960</v>
      </c>
      <c r="P775" s="50" t="s">
        <v>1961</v>
      </c>
    </row>
    <row r="776" ht="13.5" customHeight="1">
      <c r="B776" s="54"/>
      <c r="C776" s="38"/>
      <c r="D776" s="55"/>
      <c r="E776" s="56"/>
      <c r="F776" s="55"/>
      <c r="G776" s="55"/>
      <c r="H776" s="56"/>
      <c r="J776" s="57" t="str">
        <f t="shared" si="1"/>
        <v>MonagasPiarChaguaramal</v>
      </c>
      <c r="K776" s="50" t="s">
        <v>242</v>
      </c>
      <c r="L776" s="50" t="s">
        <v>243</v>
      </c>
      <c r="M776" s="50" t="s">
        <v>1957</v>
      </c>
      <c r="N776" s="50" t="s">
        <v>507</v>
      </c>
      <c r="O776" s="50" t="s">
        <v>1962</v>
      </c>
      <c r="P776" s="50" t="s">
        <v>1963</v>
      </c>
    </row>
    <row r="777" ht="13.5" customHeight="1">
      <c r="B777" s="54"/>
      <c r="C777" s="38"/>
      <c r="D777" s="55"/>
      <c r="E777" s="56"/>
      <c r="F777" s="55"/>
      <c r="G777" s="55"/>
      <c r="H777" s="56"/>
      <c r="J777" s="57" t="str">
        <f t="shared" si="1"/>
        <v>MonagasPiarEl Pinto</v>
      </c>
      <c r="K777" s="50" t="s">
        <v>242</v>
      </c>
      <c r="L777" s="50" t="s">
        <v>243</v>
      </c>
      <c r="M777" s="50" t="s">
        <v>1957</v>
      </c>
      <c r="N777" s="50" t="s">
        <v>507</v>
      </c>
      <c r="O777" s="50" t="s">
        <v>1964</v>
      </c>
      <c r="P777" s="50" t="s">
        <v>1965</v>
      </c>
    </row>
    <row r="778" ht="13.5" customHeight="1">
      <c r="B778" s="54"/>
      <c r="C778" s="38"/>
      <c r="D778" s="55"/>
      <c r="E778" s="56"/>
      <c r="F778" s="55"/>
      <c r="G778" s="55"/>
      <c r="H778" s="56"/>
      <c r="J778" s="57" t="str">
        <f t="shared" si="1"/>
        <v>MonagasPiarGuanaguana</v>
      </c>
      <c r="K778" s="50" t="s">
        <v>242</v>
      </c>
      <c r="L778" s="50" t="s">
        <v>243</v>
      </c>
      <c r="M778" s="50" t="s">
        <v>1957</v>
      </c>
      <c r="N778" s="50" t="s">
        <v>507</v>
      </c>
      <c r="O778" s="50" t="s">
        <v>1966</v>
      </c>
      <c r="P778" s="50" t="s">
        <v>1967</v>
      </c>
    </row>
    <row r="779" ht="13.5" customHeight="1">
      <c r="B779" s="54"/>
      <c r="C779" s="38"/>
      <c r="D779" s="55"/>
      <c r="E779" s="56"/>
      <c r="F779" s="55"/>
      <c r="G779" s="55"/>
      <c r="H779" s="56"/>
      <c r="J779" s="57" t="str">
        <f t="shared" si="1"/>
        <v>MonagasPiarLa Toscana</v>
      </c>
      <c r="K779" s="50" t="s">
        <v>242</v>
      </c>
      <c r="L779" s="50" t="s">
        <v>243</v>
      </c>
      <c r="M779" s="50" t="s">
        <v>1957</v>
      </c>
      <c r="N779" s="50" t="s">
        <v>507</v>
      </c>
      <c r="O779" s="50" t="s">
        <v>1968</v>
      </c>
      <c r="P779" s="50" t="s">
        <v>1969</v>
      </c>
    </row>
    <row r="780" ht="13.5" customHeight="1">
      <c r="B780" s="54"/>
      <c r="C780" s="38"/>
      <c r="D780" s="55"/>
      <c r="E780" s="56"/>
      <c r="F780" s="55"/>
      <c r="G780" s="55"/>
      <c r="H780" s="56"/>
      <c r="J780" s="57" t="str">
        <f t="shared" si="1"/>
        <v>MonagasPiarTaguaya</v>
      </c>
      <c r="K780" s="50" t="s">
        <v>242</v>
      </c>
      <c r="L780" s="50" t="s">
        <v>243</v>
      </c>
      <c r="M780" s="50" t="s">
        <v>1957</v>
      </c>
      <c r="N780" s="50" t="s">
        <v>507</v>
      </c>
      <c r="O780" s="50" t="s">
        <v>1970</v>
      </c>
      <c r="P780" s="50" t="s">
        <v>1971</v>
      </c>
    </row>
    <row r="781" ht="13.5" customHeight="1">
      <c r="B781" s="54"/>
      <c r="C781" s="38"/>
      <c r="D781" s="55"/>
      <c r="E781" s="56"/>
      <c r="F781" s="55"/>
      <c r="G781" s="55"/>
      <c r="H781" s="56"/>
      <c r="J781" s="57" t="str">
        <f t="shared" si="1"/>
        <v>MonagasPunceresCapital Punceres</v>
      </c>
      <c r="K781" s="50" t="s">
        <v>242</v>
      </c>
      <c r="L781" s="50" t="s">
        <v>243</v>
      </c>
      <c r="M781" s="50" t="s">
        <v>1972</v>
      </c>
      <c r="N781" s="50" t="s">
        <v>543</v>
      </c>
      <c r="O781" s="50" t="s">
        <v>1973</v>
      </c>
      <c r="P781" s="50" t="s">
        <v>1974</v>
      </c>
    </row>
    <row r="782" ht="13.5" customHeight="1">
      <c r="B782" s="54"/>
      <c r="C782" s="38"/>
      <c r="D782" s="55"/>
      <c r="E782" s="56"/>
      <c r="F782" s="55"/>
      <c r="G782" s="55"/>
      <c r="H782" s="56"/>
      <c r="J782" s="57" t="str">
        <f t="shared" si="1"/>
        <v>MonagasPunceresCachipo</v>
      </c>
      <c r="K782" s="50" t="s">
        <v>242</v>
      </c>
      <c r="L782" s="50" t="s">
        <v>243</v>
      </c>
      <c r="M782" s="50" t="s">
        <v>1972</v>
      </c>
      <c r="N782" s="50" t="s">
        <v>543</v>
      </c>
      <c r="O782" s="50" t="s">
        <v>1975</v>
      </c>
      <c r="P782" s="50" t="s">
        <v>429</v>
      </c>
    </row>
    <row r="783" ht="13.5" customHeight="1">
      <c r="B783" s="54"/>
      <c r="C783" s="38"/>
      <c r="D783" s="55"/>
      <c r="E783" s="56"/>
      <c r="F783" s="55"/>
      <c r="G783" s="55"/>
      <c r="H783" s="56"/>
      <c r="J783" s="57" t="str">
        <f t="shared" si="1"/>
        <v>MonagasSanta BárbaraSanta Barbará</v>
      </c>
      <c r="K783" s="50" t="s">
        <v>242</v>
      </c>
      <c r="L783" s="50" t="s">
        <v>243</v>
      </c>
      <c r="M783" s="50" t="s">
        <v>1976</v>
      </c>
      <c r="N783" s="50" t="s">
        <v>447</v>
      </c>
      <c r="O783" s="50" t="s">
        <v>1977</v>
      </c>
      <c r="P783" s="50" t="s">
        <v>869</v>
      </c>
    </row>
    <row r="784" ht="13.5" customHeight="1">
      <c r="B784" s="54"/>
      <c r="C784" s="38"/>
      <c r="D784" s="55"/>
      <c r="E784" s="56"/>
      <c r="F784" s="55"/>
      <c r="G784" s="55"/>
      <c r="H784" s="56"/>
      <c r="J784" s="57" t="str">
        <f t="shared" si="1"/>
        <v>MonagasSotilloCapital Sotillo</v>
      </c>
      <c r="K784" s="50" t="s">
        <v>242</v>
      </c>
      <c r="L784" s="50" t="s">
        <v>243</v>
      </c>
      <c r="M784" s="50" t="s">
        <v>1978</v>
      </c>
      <c r="N784" s="50" t="s">
        <v>556</v>
      </c>
      <c r="O784" s="50" t="s">
        <v>1979</v>
      </c>
      <c r="P784" s="50" t="s">
        <v>1980</v>
      </c>
    </row>
    <row r="785" ht="13.5" customHeight="1">
      <c r="B785" s="54"/>
      <c r="C785" s="38"/>
      <c r="D785" s="55"/>
      <c r="E785" s="56"/>
      <c r="F785" s="55"/>
      <c r="G785" s="55"/>
      <c r="H785" s="56"/>
      <c r="J785" s="57" t="str">
        <f t="shared" si="1"/>
        <v>MonagasSotilloLos Barrancos De Fajardo</v>
      </c>
      <c r="K785" s="50" t="s">
        <v>242</v>
      </c>
      <c r="L785" s="50" t="s">
        <v>243</v>
      </c>
      <c r="M785" s="50" t="s">
        <v>1978</v>
      </c>
      <c r="N785" s="50" t="s">
        <v>556</v>
      </c>
      <c r="O785" s="50" t="s">
        <v>1981</v>
      </c>
      <c r="P785" s="50" t="s">
        <v>1982</v>
      </c>
    </row>
    <row r="786" ht="13.5" customHeight="1">
      <c r="B786" s="54"/>
      <c r="C786" s="38"/>
      <c r="D786" s="55"/>
      <c r="E786" s="56"/>
      <c r="F786" s="55"/>
      <c r="G786" s="55"/>
      <c r="H786" s="56"/>
      <c r="J786" s="57" t="str">
        <f t="shared" si="1"/>
        <v>MonagasUracoaUracoa</v>
      </c>
      <c r="K786" s="50" t="s">
        <v>242</v>
      </c>
      <c r="L786" s="50" t="s">
        <v>243</v>
      </c>
      <c r="M786" s="50" t="s">
        <v>1983</v>
      </c>
      <c r="N786" s="50" t="s">
        <v>561</v>
      </c>
      <c r="O786" s="50" t="s">
        <v>1984</v>
      </c>
      <c r="P786" s="50" t="s">
        <v>561</v>
      </c>
    </row>
    <row r="787" ht="13.5" customHeight="1">
      <c r="B787" s="54"/>
      <c r="C787" s="38"/>
      <c r="D787" s="55"/>
      <c r="E787" s="56"/>
      <c r="F787" s="55"/>
      <c r="G787" s="55"/>
      <c r="H787" s="56"/>
      <c r="J787" s="57" t="str">
        <f t="shared" si="1"/>
        <v>Nueva EspartaAntolín Del CampoCapital Antolín Del Campo</v>
      </c>
      <c r="K787" s="50" t="s">
        <v>252</v>
      </c>
      <c r="L787" s="50" t="s">
        <v>253</v>
      </c>
      <c r="M787" s="50" t="s">
        <v>1985</v>
      </c>
      <c r="N787" s="50" t="s">
        <v>458</v>
      </c>
      <c r="O787" s="50" t="s">
        <v>1986</v>
      </c>
      <c r="P787" s="50" t="s">
        <v>1987</v>
      </c>
    </row>
    <row r="788" ht="13.5" customHeight="1">
      <c r="B788" s="54"/>
      <c r="C788" s="38"/>
      <c r="D788" s="55"/>
      <c r="E788" s="56"/>
      <c r="F788" s="55"/>
      <c r="G788" s="55"/>
      <c r="H788" s="56"/>
      <c r="J788" s="57" t="str">
        <f t="shared" si="1"/>
        <v>Nueva EspartaArismendiCapital Arismendi</v>
      </c>
      <c r="K788" s="50" t="s">
        <v>252</v>
      </c>
      <c r="L788" s="50" t="s">
        <v>253</v>
      </c>
      <c r="M788" s="50" t="s">
        <v>1988</v>
      </c>
      <c r="N788" s="50" t="s">
        <v>469</v>
      </c>
      <c r="O788" s="50" t="s">
        <v>1989</v>
      </c>
      <c r="P788" s="50" t="s">
        <v>1990</v>
      </c>
    </row>
    <row r="789" ht="13.5" customHeight="1">
      <c r="B789" s="54"/>
      <c r="C789" s="38"/>
      <c r="D789" s="55"/>
      <c r="E789" s="56"/>
      <c r="F789" s="55"/>
      <c r="G789" s="55"/>
      <c r="H789" s="56"/>
      <c r="J789" s="57" t="str">
        <f t="shared" si="1"/>
        <v>Nueva EspartaDíazCapital Díaz</v>
      </c>
      <c r="K789" s="50" t="s">
        <v>252</v>
      </c>
      <c r="L789" s="50" t="s">
        <v>253</v>
      </c>
      <c r="M789" s="50" t="s">
        <v>1991</v>
      </c>
      <c r="N789" s="50" t="s">
        <v>480</v>
      </c>
      <c r="O789" s="50" t="s">
        <v>1992</v>
      </c>
      <c r="P789" s="50" t="s">
        <v>1993</v>
      </c>
    </row>
    <row r="790" ht="13.5" customHeight="1">
      <c r="B790" s="54"/>
      <c r="C790" s="38"/>
      <c r="D790" s="55"/>
      <c r="E790" s="56"/>
      <c r="F790" s="55"/>
      <c r="G790" s="55"/>
      <c r="H790" s="56"/>
      <c r="J790" s="57" t="str">
        <f t="shared" si="1"/>
        <v>Nueva EspartaDíazZabala</v>
      </c>
      <c r="K790" s="50" t="s">
        <v>252</v>
      </c>
      <c r="L790" s="50" t="s">
        <v>253</v>
      </c>
      <c r="M790" s="50" t="s">
        <v>1991</v>
      </c>
      <c r="N790" s="50" t="s">
        <v>480</v>
      </c>
      <c r="O790" s="50" t="s">
        <v>1994</v>
      </c>
      <c r="P790" s="50" t="s">
        <v>1995</v>
      </c>
    </row>
    <row r="791" ht="13.5" customHeight="1">
      <c r="B791" s="54"/>
      <c r="C791" s="38"/>
      <c r="D791" s="55"/>
      <c r="E791" s="56"/>
      <c r="F791" s="55"/>
      <c r="G791" s="55"/>
      <c r="H791" s="56"/>
      <c r="J791" s="57" t="str">
        <f t="shared" si="1"/>
        <v>Nueva EspartaGarcíaCapital García</v>
      </c>
      <c r="K791" s="50" t="s">
        <v>252</v>
      </c>
      <c r="L791" s="50" t="s">
        <v>253</v>
      </c>
      <c r="M791" s="50" t="s">
        <v>1996</v>
      </c>
      <c r="N791" s="50" t="s">
        <v>489</v>
      </c>
      <c r="O791" s="50" t="s">
        <v>1997</v>
      </c>
      <c r="P791" s="50" t="s">
        <v>1998</v>
      </c>
    </row>
    <row r="792" ht="13.5" customHeight="1">
      <c r="B792" s="54"/>
      <c r="C792" s="38"/>
      <c r="D792" s="55"/>
      <c r="E792" s="56"/>
      <c r="F792" s="55"/>
      <c r="G792" s="55"/>
      <c r="H792" s="56"/>
      <c r="J792" s="57" t="str">
        <f t="shared" si="1"/>
        <v>Nueva EspartaGarcíaFrancisco Fajardo</v>
      </c>
      <c r="K792" s="50" t="s">
        <v>252</v>
      </c>
      <c r="L792" s="50" t="s">
        <v>253</v>
      </c>
      <c r="M792" s="50" t="s">
        <v>1996</v>
      </c>
      <c r="N792" s="50" t="s">
        <v>489</v>
      </c>
      <c r="O792" s="50" t="s">
        <v>1999</v>
      </c>
      <c r="P792" s="50" t="s">
        <v>2000</v>
      </c>
    </row>
    <row r="793" ht="13.5" customHeight="1">
      <c r="B793" s="54"/>
      <c r="C793" s="38"/>
      <c r="D793" s="55"/>
      <c r="E793" s="56"/>
      <c r="F793" s="55"/>
      <c r="G793" s="55"/>
      <c r="H793" s="56"/>
      <c r="J793" s="57" t="str">
        <f t="shared" si="1"/>
        <v>Nueva EspartaGómezCapital Gómez</v>
      </c>
      <c r="K793" s="50" t="s">
        <v>252</v>
      </c>
      <c r="L793" s="50" t="s">
        <v>253</v>
      </c>
      <c r="M793" s="50" t="s">
        <v>2001</v>
      </c>
      <c r="N793" s="50" t="s">
        <v>499</v>
      </c>
      <c r="O793" s="50" t="s">
        <v>2002</v>
      </c>
      <c r="P793" s="50" t="s">
        <v>2003</v>
      </c>
    </row>
    <row r="794" ht="13.5" customHeight="1">
      <c r="B794" s="54"/>
      <c r="C794" s="38"/>
      <c r="D794" s="55"/>
      <c r="E794" s="56"/>
      <c r="F794" s="55"/>
      <c r="G794" s="55"/>
      <c r="H794" s="56"/>
      <c r="J794" s="57" t="str">
        <f t="shared" si="1"/>
        <v>Nueva EspartaGómezBolívar</v>
      </c>
      <c r="K794" s="50" t="s">
        <v>252</v>
      </c>
      <c r="L794" s="50" t="s">
        <v>253</v>
      </c>
      <c r="M794" s="50" t="s">
        <v>2001</v>
      </c>
      <c r="N794" s="50" t="s">
        <v>499</v>
      </c>
      <c r="O794" s="50" t="s">
        <v>2004</v>
      </c>
      <c r="P794" s="50" t="s">
        <v>129</v>
      </c>
    </row>
    <row r="795" ht="13.5" customHeight="1">
      <c r="B795" s="54"/>
      <c r="C795" s="38"/>
      <c r="D795" s="55"/>
      <c r="E795" s="56"/>
      <c r="F795" s="55"/>
      <c r="G795" s="55"/>
      <c r="H795" s="56"/>
      <c r="J795" s="57" t="str">
        <f t="shared" si="1"/>
        <v>Nueva EspartaGómezGuevara</v>
      </c>
      <c r="K795" s="50" t="s">
        <v>252</v>
      </c>
      <c r="L795" s="50" t="s">
        <v>253</v>
      </c>
      <c r="M795" s="50" t="s">
        <v>2001</v>
      </c>
      <c r="N795" s="50" t="s">
        <v>499</v>
      </c>
      <c r="O795" s="50" t="s">
        <v>2005</v>
      </c>
      <c r="P795" s="50" t="s">
        <v>2006</v>
      </c>
    </row>
    <row r="796" ht="13.5" customHeight="1">
      <c r="B796" s="54"/>
      <c r="C796" s="38"/>
      <c r="D796" s="55"/>
      <c r="E796" s="56"/>
      <c r="F796" s="55"/>
      <c r="G796" s="55"/>
      <c r="H796" s="56"/>
      <c r="J796" s="57" t="str">
        <f t="shared" si="1"/>
        <v>Nueva EspartaGómezMatasiete</v>
      </c>
      <c r="K796" s="50" t="s">
        <v>252</v>
      </c>
      <c r="L796" s="50" t="s">
        <v>253</v>
      </c>
      <c r="M796" s="50" t="s">
        <v>2001</v>
      </c>
      <c r="N796" s="50" t="s">
        <v>499</v>
      </c>
      <c r="O796" s="50" t="s">
        <v>2007</v>
      </c>
      <c r="P796" s="50" t="s">
        <v>2008</v>
      </c>
    </row>
    <row r="797" ht="13.5" customHeight="1">
      <c r="B797" s="54"/>
      <c r="C797" s="38"/>
      <c r="D797" s="55"/>
      <c r="E797" s="56"/>
      <c r="F797" s="55"/>
      <c r="G797" s="55"/>
      <c r="H797" s="56"/>
      <c r="J797" s="57" t="str">
        <f t="shared" si="1"/>
        <v>Nueva EspartaGómezSucre</v>
      </c>
      <c r="K797" s="50" t="s">
        <v>252</v>
      </c>
      <c r="L797" s="50" t="s">
        <v>253</v>
      </c>
      <c r="M797" s="50" t="s">
        <v>2001</v>
      </c>
      <c r="N797" s="50" t="s">
        <v>499</v>
      </c>
      <c r="O797" s="50" t="s">
        <v>2009</v>
      </c>
      <c r="P797" s="50" t="s">
        <v>271</v>
      </c>
    </row>
    <row r="798" ht="13.5" customHeight="1">
      <c r="B798" s="54"/>
      <c r="C798" s="38"/>
      <c r="D798" s="55"/>
      <c r="E798" s="56"/>
      <c r="F798" s="55"/>
      <c r="G798" s="55"/>
      <c r="H798" s="56"/>
      <c r="J798" s="57" t="str">
        <f t="shared" si="1"/>
        <v>Nueva EspartaManeiroCapital Maneiro</v>
      </c>
      <c r="K798" s="50" t="s">
        <v>252</v>
      </c>
      <c r="L798" s="50" t="s">
        <v>253</v>
      </c>
      <c r="M798" s="50" t="s">
        <v>2010</v>
      </c>
      <c r="N798" s="50" t="s">
        <v>508</v>
      </c>
      <c r="O798" s="50" t="s">
        <v>2011</v>
      </c>
      <c r="P798" s="50" t="s">
        <v>2012</v>
      </c>
    </row>
    <row r="799" ht="13.5" customHeight="1">
      <c r="B799" s="54"/>
      <c r="C799" s="38"/>
      <c r="D799" s="55"/>
      <c r="E799" s="56"/>
      <c r="F799" s="55"/>
      <c r="G799" s="55"/>
      <c r="H799" s="56"/>
      <c r="J799" s="57" t="str">
        <f t="shared" si="1"/>
        <v>Nueva EspartaManeiroAguirre</v>
      </c>
      <c r="K799" s="50" t="s">
        <v>252</v>
      </c>
      <c r="L799" s="50" t="s">
        <v>253</v>
      </c>
      <c r="M799" s="50" t="s">
        <v>2010</v>
      </c>
      <c r="N799" s="50" t="s">
        <v>508</v>
      </c>
      <c r="O799" s="50" t="s">
        <v>2013</v>
      </c>
      <c r="P799" s="50" t="s">
        <v>2014</v>
      </c>
    </row>
    <row r="800" ht="13.5" customHeight="1">
      <c r="B800" s="54"/>
      <c r="C800" s="38"/>
      <c r="D800" s="55"/>
      <c r="E800" s="56"/>
      <c r="F800" s="55"/>
      <c r="G800" s="55"/>
      <c r="H800" s="56"/>
      <c r="J800" s="57" t="str">
        <f t="shared" si="1"/>
        <v>Nueva EspartaMarcanoCapital Marcano</v>
      </c>
      <c r="K800" s="50" t="s">
        <v>252</v>
      </c>
      <c r="L800" s="50" t="s">
        <v>253</v>
      </c>
      <c r="M800" s="50" t="s">
        <v>2015</v>
      </c>
      <c r="N800" s="50" t="s">
        <v>517</v>
      </c>
      <c r="O800" s="50" t="s">
        <v>2016</v>
      </c>
      <c r="P800" s="50" t="s">
        <v>2017</v>
      </c>
    </row>
    <row r="801" ht="13.5" customHeight="1">
      <c r="B801" s="54"/>
      <c r="C801" s="38"/>
      <c r="D801" s="55"/>
      <c r="E801" s="56"/>
      <c r="F801" s="55"/>
      <c r="G801" s="55"/>
      <c r="H801" s="56"/>
      <c r="J801" s="57" t="str">
        <f t="shared" si="1"/>
        <v>Nueva EspartaMarcanoAdrian</v>
      </c>
      <c r="K801" s="50" t="s">
        <v>252</v>
      </c>
      <c r="L801" s="50" t="s">
        <v>253</v>
      </c>
      <c r="M801" s="50" t="s">
        <v>2015</v>
      </c>
      <c r="N801" s="50" t="s">
        <v>517</v>
      </c>
      <c r="O801" s="50" t="s">
        <v>2018</v>
      </c>
      <c r="P801" s="50" t="s">
        <v>2019</v>
      </c>
    </row>
    <row r="802" ht="13.5" customHeight="1">
      <c r="B802" s="54"/>
      <c r="C802" s="38"/>
      <c r="D802" s="55"/>
      <c r="E802" s="56"/>
      <c r="F802" s="55"/>
      <c r="G802" s="55"/>
      <c r="H802" s="56"/>
      <c r="J802" s="57" t="str">
        <f t="shared" si="1"/>
        <v>Nueva EspartaMariñoCapital Mariño</v>
      </c>
      <c r="K802" s="50" t="s">
        <v>252</v>
      </c>
      <c r="L802" s="50" t="s">
        <v>253</v>
      </c>
      <c r="M802" s="50" t="s">
        <v>2020</v>
      </c>
      <c r="N802" s="50" t="s">
        <v>526</v>
      </c>
      <c r="O802" s="50" t="s">
        <v>2021</v>
      </c>
      <c r="P802" s="50" t="s">
        <v>2022</v>
      </c>
    </row>
    <row r="803" ht="13.5" customHeight="1">
      <c r="B803" s="54"/>
      <c r="C803" s="38"/>
      <c r="D803" s="55"/>
      <c r="E803" s="56"/>
      <c r="F803" s="55"/>
      <c r="G803" s="55"/>
      <c r="H803" s="56"/>
      <c r="J803" s="57" t="str">
        <f t="shared" si="1"/>
        <v>Nueva EspartaMarcanoCapital Península De Macanao</v>
      </c>
      <c r="K803" s="50" t="s">
        <v>252</v>
      </c>
      <c r="L803" s="50" t="s">
        <v>253</v>
      </c>
      <c r="M803" s="50" t="s">
        <v>2023</v>
      </c>
      <c r="N803" s="50" t="s">
        <v>517</v>
      </c>
      <c r="O803" s="50" t="s">
        <v>2024</v>
      </c>
      <c r="P803" s="50" t="s">
        <v>2025</v>
      </c>
    </row>
    <row r="804" ht="13.5" customHeight="1">
      <c r="B804" s="54"/>
      <c r="C804" s="38"/>
      <c r="D804" s="55"/>
      <c r="E804" s="56"/>
      <c r="F804" s="55"/>
      <c r="G804" s="55"/>
      <c r="H804" s="56"/>
      <c r="J804" s="57" t="str">
        <f t="shared" si="1"/>
        <v>Nueva EspartaMarcanoSan Francisco</v>
      </c>
      <c r="K804" s="50" t="s">
        <v>252</v>
      </c>
      <c r="L804" s="50" t="s">
        <v>253</v>
      </c>
      <c r="M804" s="50" t="s">
        <v>2023</v>
      </c>
      <c r="N804" s="50" t="s">
        <v>517</v>
      </c>
      <c r="O804" s="50" t="s">
        <v>2026</v>
      </c>
      <c r="P804" s="50" t="s">
        <v>638</v>
      </c>
    </row>
    <row r="805" ht="13.5" customHeight="1">
      <c r="B805" s="54"/>
      <c r="C805" s="38"/>
      <c r="D805" s="55"/>
      <c r="E805" s="56"/>
      <c r="F805" s="55"/>
      <c r="G805" s="55"/>
      <c r="H805" s="56"/>
      <c r="J805" s="57" t="str">
        <f t="shared" si="1"/>
        <v>Nueva EspartaTuboresCapital Tubores</v>
      </c>
      <c r="K805" s="50" t="s">
        <v>252</v>
      </c>
      <c r="L805" s="50" t="s">
        <v>253</v>
      </c>
      <c r="M805" s="50" t="s">
        <v>2027</v>
      </c>
      <c r="N805" s="50" t="s">
        <v>541</v>
      </c>
      <c r="O805" s="50" t="s">
        <v>2028</v>
      </c>
      <c r="P805" s="50" t="s">
        <v>2029</v>
      </c>
    </row>
    <row r="806" ht="13.5" customHeight="1">
      <c r="B806" s="54"/>
      <c r="C806" s="38"/>
      <c r="D806" s="55"/>
      <c r="E806" s="56"/>
      <c r="F806" s="55"/>
      <c r="G806" s="55"/>
      <c r="H806" s="56"/>
      <c r="J806" s="57" t="str">
        <f t="shared" si="1"/>
        <v>Nueva EspartaTuboresLos Barales</v>
      </c>
      <c r="K806" s="50" t="s">
        <v>252</v>
      </c>
      <c r="L806" s="50" t="s">
        <v>253</v>
      </c>
      <c r="M806" s="50" t="s">
        <v>2027</v>
      </c>
      <c r="N806" s="50" t="s">
        <v>541</v>
      </c>
      <c r="O806" s="50" t="s">
        <v>2030</v>
      </c>
      <c r="P806" s="50" t="s">
        <v>2031</v>
      </c>
    </row>
    <row r="807" ht="13.5" customHeight="1">
      <c r="B807" s="54"/>
      <c r="C807" s="38"/>
      <c r="D807" s="55"/>
      <c r="E807" s="56"/>
      <c r="F807" s="55"/>
      <c r="G807" s="55"/>
      <c r="H807" s="56"/>
      <c r="J807" s="57" t="str">
        <f t="shared" si="1"/>
        <v>Nueva EspartaVillalbaCapital Villalba</v>
      </c>
      <c r="K807" s="50" t="s">
        <v>252</v>
      </c>
      <c r="L807" s="50" t="s">
        <v>253</v>
      </c>
      <c r="M807" s="50" t="s">
        <v>2032</v>
      </c>
      <c r="N807" s="50" t="s">
        <v>549</v>
      </c>
      <c r="O807" s="50" t="s">
        <v>2033</v>
      </c>
      <c r="P807" s="50" t="s">
        <v>2034</v>
      </c>
    </row>
    <row r="808" ht="13.5" customHeight="1">
      <c r="B808" s="54"/>
      <c r="C808" s="38"/>
      <c r="D808" s="55"/>
      <c r="E808" s="56"/>
      <c r="F808" s="55"/>
      <c r="G808" s="55"/>
      <c r="H808" s="56"/>
      <c r="J808" s="57" t="str">
        <f t="shared" si="1"/>
        <v>Nueva EspartaVillalbaVicente Fuentes</v>
      </c>
      <c r="K808" s="50" t="s">
        <v>252</v>
      </c>
      <c r="L808" s="50" t="s">
        <v>253</v>
      </c>
      <c r="M808" s="50" t="s">
        <v>2032</v>
      </c>
      <c r="N808" s="50" t="s">
        <v>549</v>
      </c>
      <c r="O808" s="50" t="s">
        <v>2035</v>
      </c>
      <c r="P808" s="50" t="s">
        <v>2036</v>
      </c>
    </row>
    <row r="809" ht="13.5" customHeight="1">
      <c r="B809" s="54"/>
      <c r="C809" s="38"/>
      <c r="D809" s="55"/>
      <c r="E809" s="56"/>
      <c r="F809" s="55"/>
      <c r="G809" s="55"/>
      <c r="H809" s="56"/>
      <c r="J809" s="57" t="str">
        <f t="shared" si="1"/>
        <v>PortuguesaAgua BlancaCapital Agua Blanca</v>
      </c>
      <c r="K809" s="50" t="s">
        <v>262</v>
      </c>
      <c r="L809" s="50" t="s">
        <v>263</v>
      </c>
      <c r="M809" s="50" t="s">
        <v>2037</v>
      </c>
      <c r="N809" s="50" t="s">
        <v>461</v>
      </c>
      <c r="O809" s="50" t="s">
        <v>2038</v>
      </c>
      <c r="P809" s="50" t="s">
        <v>2039</v>
      </c>
    </row>
    <row r="810" ht="13.5" customHeight="1">
      <c r="B810" s="54"/>
      <c r="C810" s="38"/>
      <c r="D810" s="55"/>
      <c r="E810" s="56"/>
      <c r="F810" s="55"/>
      <c r="G810" s="55"/>
      <c r="H810" s="56"/>
      <c r="J810" s="57" t="str">
        <f t="shared" si="1"/>
        <v>PortuguesaAraureCapital Araure</v>
      </c>
      <c r="K810" s="50" t="s">
        <v>262</v>
      </c>
      <c r="L810" s="50" t="s">
        <v>263</v>
      </c>
      <c r="M810" s="50" t="s">
        <v>2040</v>
      </c>
      <c r="N810" s="50" t="s">
        <v>473</v>
      </c>
      <c r="O810" s="50" t="s">
        <v>2041</v>
      </c>
      <c r="P810" s="50" t="s">
        <v>2042</v>
      </c>
    </row>
    <row r="811" ht="13.5" customHeight="1">
      <c r="B811" s="54"/>
      <c r="C811" s="38"/>
      <c r="D811" s="55"/>
      <c r="E811" s="56"/>
      <c r="F811" s="55"/>
      <c r="G811" s="55"/>
      <c r="H811" s="56"/>
      <c r="J811" s="57" t="str">
        <f t="shared" si="1"/>
        <v>PortuguesaAraureRio Acarigua</v>
      </c>
      <c r="K811" s="50" t="s">
        <v>262</v>
      </c>
      <c r="L811" s="50" t="s">
        <v>263</v>
      </c>
      <c r="M811" s="50" t="s">
        <v>2040</v>
      </c>
      <c r="N811" s="50" t="s">
        <v>473</v>
      </c>
      <c r="O811" s="50" t="s">
        <v>2043</v>
      </c>
      <c r="P811" s="50" t="s">
        <v>2044</v>
      </c>
    </row>
    <row r="812" ht="13.5" customHeight="1">
      <c r="B812" s="54"/>
      <c r="C812" s="38"/>
      <c r="D812" s="55"/>
      <c r="E812" s="56"/>
      <c r="F812" s="55"/>
      <c r="G812" s="55"/>
      <c r="H812" s="56"/>
      <c r="J812" s="57" t="str">
        <f t="shared" si="1"/>
        <v>PortuguesaEstellerCapital Esteller</v>
      </c>
      <c r="K812" s="50" t="s">
        <v>262</v>
      </c>
      <c r="L812" s="50" t="s">
        <v>263</v>
      </c>
      <c r="M812" s="50" t="s">
        <v>2045</v>
      </c>
      <c r="N812" s="50" t="s">
        <v>482</v>
      </c>
      <c r="O812" s="50" t="s">
        <v>2046</v>
      </c>
      <c r="P812" s="50" t="s">
        <v>2047</v>
      </c>
    </row>
    <row r="813" ht="13.5" customHeight="1">
      <c r="B813" s="54"/>
      <c r="C813" s="38"/>
      <c r="D813" s="55"/>
      <c r="E813" s="56"/>
      <c r="F813" s="55"/>
      <c r="G813" s="55"/>
      <c r="H813" s="56"/>
      <c r="J813" s="57" t="str">
        <f t="shared" si="1"/>
        <v>PortuguesaEstellerUveral</v>
      </c>
      <c r="K813" s="50" t="s">
        <v>262</v>
      </c>
      <c r="L813" s="50" t="s">
        <v>263</v>
      </c>
      <c r="M813" s="50" t="s">
        <v>2045</v>
      </c>
      <c r="N813" s="50" t="s">
        <v>482</v>
      </c>
      <c r="O813" s="50" t="s">
        <v>2048</v>
      </c>
      <c r="P813" s="50" t="s">
        <v>2049</v>
      </c>
    </row>
    <row r="814" ht="13.5" customHeight="1">
      <c r="B814" s="54"/>
      <c r="C814" s="38"/>
      <c r="D814" s="55"/>
      <c r="E814" s="56"/>
      <c r="F814" s="55"/>
      <c r="G814" s="55"/>
      <c r="H814" s="56"/>
      <c r="J814" s="57" t="str">
        <f t="shared" si="1"/>
        <v>PortuguesaGuanareCapital Guanare</v>
      </c>
      <c r="K814" s="50" t="s">
        <v>262</v>
      </c>
      <c r="L814" s="50" t="s">
        <v>263</v>
      </c>
      <c r="M814" s="50" t="s">
        <v>2050</v>
      </c>
      <c r="N814" s="50" t="s">
        <v>492</v>
      </c>
      <c r="O814" s="50" t="s">
        <v>2051</v>
      </c>
      <c r="P814" s="50" t="s">
        <v>2052</v>
      </c>
    </row>
    <row r="815" ht="13.5" customHeight="1">
      <c r="B815" s="54"/>
      <c r="C815" s="38"/>
      <c r="D815" s="55"/>
      <c r="E815" s="56"/>
      <c r="F815" s="55"/>
      <c r="G815" s="55"/>
      <c r="H815" s="56"/>
      <c r="J815" s="57" t="str">
        <f t="shared" si="1"/>
        <v>PortuguesaGuanareCórdoba</v>
      </c>
      <c r="K815" s="50" t="s">
        <v>262</v>
      </c>
      <c r="L815" s="50" t="s">
        <v>263</v>
      </c>
      <c r="M815" s="50" t="s">
        <v>2050</v>
      </c>
      <c r="N815" s="50" t="s">
        <v>492</v>
      </c>
      <c r="O815" s="50" t="s">
        <v>2053</v>
      </c>
      <c r="P815" s="50" t="s">
        <v>2054</v>
      </c>
    </row>
    <row r="816" ht="13.5" customHeight="1">
      <c r="B816" s="54"/>
      <c r="C816" s="38"/>
      <c r="D816" s="55"/>
      <c r="E816" s="56"/>
      <c r="F816" s="55"/>
      <c r="G816" s="55"/>
      <c r="H816" s="56"/>
      <c r="J816" s="57" t="str">
        <f t="shared" si="1"/>
        <v>PortuguesaGuanareSan José De La Montaña</v>
      </c>
      <c r="K816" s="50" t="s">
        <v>262</v>
      </c>
      <c r="L816" s="50" t="s">
        <v>263</v>
      </c>
      <c r="M816" s="50" t="s">
        <v>2050</v>
      </c>
      <c r="N816" s="50" t="s">
        <v>492</v>
      </c>
      <c r="O816" s="50" t="s">
        <v>2055</v>
      </c>
      <c r="P816" s="50" t="s">
        <v>2056</v>
      </c>
    </row>
    <row r="817" ht="13.5" customHeight="1">
      <c r="B817" s="54"/>
      <c r="C817" s="38"/>
      <c r="D817" s="55"/>
      <c r="E817" s="56"/>
      <c r="F817" s="55"/>
      <c r="G817" s="55"/>
      <c r="H817" s="56"/>
      <c r="J817" s="57" t="str">
        <f t="shared" si="1"/>
        <v>PortuguesaGuanareSan Juan De Guanaguanare</v>
      </c>
      <c r="K817" s="50" t="s">
        <v>262</v>
      </c>
      <c r="L817" s="50" t="s">
        <v>263</v>
      </c>
      <c r="M817" s="50" t="s">
        <v>2050</v>
      </c>
      <c r="N817" s="50" t="s">
        <v>492</v>
      </c>
      <c r="O817" s="50" t="s">
        <v>2057</v>
      </c>
      <c r="P817" s="50" t="s">
        <v>2058</v>
      </c>
    </row>
    <row r="818" ht="13.5" customHeight="1">
      <c r="B818" s="54"/>
      <c r="C818" s="38"/>
      <c r="D818" s="55"/>
      <c r="E818" s="56"/>
      <c r="F818" s="55"/>
      <c r="G818" s="55"/>
      <c r="H818" s="56"/>
      <c r="J818" s="57" t="str">
        <f t="shared" si="1"/>
        <v>PortuguesaGuanareVirgen De La Coromoto</v>
      </c>
      <c r="K818" s="50" t="s">
        <v>262</v>
      </c>
      <c r="L818" s="50" t="s">
        <v>263</v>
      </c>
      <c r="M818" s="50" t="s">
        <v>2050</v>
      </c>
      <c r="N818" s="50" t="s">
        <v>492</v>
      </c>
      <c r="O818" s="50" t="s">
        <v>2059</v>
      </c>
      <c r="P818" s="50" t="s">
        <v>2060</v>
      </c>
    </row>
    <row r="819" ht="13.5" customHeight="1">
      <c r="B819" s="54"/>
      <c r="C819" s="38"/>
      <c r="D819" s="55"/>
      <c r="E819" s="56"/>
      <c r="F819" s="55"/>
      <c r="G819" s="55"/>
      <c r="H819" s="56"/>
      <c r="J819" s="57" t="str">
        <f t="shared" si="1"/>
        <v>PortuguesaGuanaritoCapital Guanarito</v>
      </c>
      <c r="K819" s="50" t="s">
        <v>262</v>
      </c>
      <c r="L819" s="50" t="s">
        <v>263</v>
      </c>
      <c r="M819" s="50" t="s">
        <v>2061</v>
      </c>
      <c r="N819" s="50" t="s">
        <v>501</v>
      </c>
      <c r="O819" s="50" t="s">
        <v>2062</v>
      </c>
      <c r="P819" s="50" t="s">
        <v>2063</v>
      </c>
    </row>
    <row r="820" ht="13.5" customHeight="1">
      <c r="B820" s="54"/>
      <c r="C820" s="38"/>
      <c r="D820" s="55"/>
      <c r="E820" s="56"/>
      <c r="F820" s="55"/>
      <c r="G820" s="55"/>
      <c r="H820" s="56"/>
      <c r="J820" s="57" t="str">
        <f t="shared" si="1"/>
        <v>PortuguesaGuanaritoTrinidad De La Capilla</v>
      </c>
      <c r="K820" s="50" t="s">
        <v>262</v>
      </c>
      <c r="L820" s="50" t="s">
        <v>263</v>
      </c>
      <c r="M820" s="50" t="s">
        <v>2061</v>
      </c>
      <c r="N820" s="50" t="s">
        <v>501</v>
      </c>
      <c r="O820" s="50" t="s">
        <v>2064</v>
      </c>
      <c r="P820" s="50" t="s">
        <v>2065</v>
      </c>
    </row>
    <row r="821" ht="13.5" customHeight="1">
      <c r="B821" s="54"/>
      <c r="C821" s="38"/>
      <c r="D821" s="55"/>
      <c r="E821" s="56"/>
      <c r="F821" s="55"/>
      <c r="G821" s="55"/>
      <c r="H821" s="56"/>
      <c r="J821" s="57" t="str">
        <f t="shared" si="1"/>
        <v>PortuguesaGuanaritoDivina Pastora</v>
      </c>
      <c r="K821" s="50" t="s">
        <v>262</v>
      </c>
      <c r="L821" s="50" t="s">
        <v>263</v>
      </c>
      <c r="M821" s="50" t="s">
        <v>2061</v>
      </c>
      <c r="N821" s="50" t="s">
        <v>501</v>
      </c>
      <c r="O821" s="50" t="s">
        <v>2066</v>
      </c>
      <c r="P821" s="50" t="s">
        <v>2067</v>
      </c>
    </row>
    <row r="822" ht="13.5" customHeight="1">
      <c r="B822" s="54"/>
      <c r="C822" s="38"/>
      <c r="D822" s="55"/>
      <c r="E822" s="56"/>
      <c r="F822" s="55"/>
      <c r="G822" s="55"/>
      <c r="H822" s="56"/>
      <c r="J822" s="57" t="str">
        <f t="shared" si="1"/>
        <v>PortuguesaMonseñor José Vicente De UndaCapital Monseñor José Vicente De Unda</v>
      </c>
      <c r="K822" s="50" t="s">
        <v>262</v>
      </c>
      <c r="L822" s="50" t="s">
        <v>263</v>
      </c>
      <c r="M822" s="50" t="s">
        <v>2068</v>
      </c>
      <c r="N822" s="50" t="s">
        <v>511</v>
      </c>
      <c r="O822" s="50" t="s">
        <v>2069</v>
      </c>
      <c r="P822" s="50" t="s">
        <v>2070</v>
      </c>
    </row>
    <row r="823" ht="13.5" customHeight="1">
      <c r="B823" s="54"/>
      <c r="C823" s="38"/>
      <c r="D823" s="55"/>
      <c r="E823" s="56"/>
      <c r="F823" s="55"/>
      <c r="G823" s="55"/>
      <c r="H823" s="56"/>
      <c r="J823" s="57" t="str">
        <f t="shared" si="1"/>
        <v>PortuguesaMonseñor José Vicente De UndaPeña Blanca</v>
      </c>
      <c r="K823" s="50" t="s">
        <v>262</v>
      </c>
      <c r="L823" s="50" t="s">
        <v>263</v>
      </c>
      <c r="M823" s="50" t="s">
        <v>2068</v>
      </c>
      <c r="N823" s="50" t="s">
        <v>511</v>
      </c>
      <c r="O823" s="50" t="s">
        <v>2071</v>
      </c>
      <c r="P823" s="50" t="s">
        <v>2072</v>
      </c>
    </row>
    <row r="824" ht="13.5" customHeight="1">
      <c r="B824" s="54"/>
      <c r="C824" s="38"/>
      <c r="D824" s="55"/>
      <c r="E824" s="56"/>
      <c r="F824" s="55"/>
      <c r="G824" s="55"/>
      <c r="H824" s="56"/>
      <c r="J824" s="57" t="str">
        <f t="shared" si="1"/>
        <v>PortuguesaOspinoCapital Ospino</v>
      </c>
      <c r="K824" s="50" t="s">
        <v>262</v>
      </c>
      <c r="L824" s="50" t="s">
        <v>263</v>
      </c>
      <c r="M824" s="50" t="s">
        <v>2073</v>
      </c>
      <c r="N824" s="50" t="s">
        <v>519</v>
      </c>
      <c r="O824" s="50" t="s">
        <v>2074</v>
      </c>
      <c r="P824" s="50" t="s">
        <v>2075</v>
      </c>
    </row>
    <row r="825" ht="13.5" customHeight="1">
      <c r="B825" s="54"/>
      <c r="C825" s="38"/>
      <c r="D825" s="55"/>
      <c r="E825" s="56"/>
      <c r="F825" s="55"/>
      <c r="G825" s="55"/>
      <c r="H825" s="56"/>
      <c r="J825" s="57" t="str">
        <f t="shared" si="1"/>
        <v>PortuguesaOspinoAparición</v>
      </c>
      <c r="K825" s="50" t="s">
        <v>262</v>
      </c>
      <c r="L825" s="50" t="s">
        <v>263</v>
      </c>
      <c r="M825" s="50" t="s">
        <v>2073</v>
      </c>
      <c r="N825" s="50" t="s">
        <v>519</v>
      </c>
      <c r="O825" s="50" t="s">
        <v>2076</v>
      </c>
      <c r="P825" s="50" t="s">
        <v>2077</v>
      </c>
    </row>
    <row r="826" ht="13.5" customHeight="1">
      <c r="B826" s="54"/>
      <c r="C826" s="38"/>
      <c r="D826" s="55"/>
      <c r="E826" s="56"/>
      <c r="F826" s="55"/>
      <c r="G826" s="55"/>
      <c r="H826" s="56"/>
      <c r="J826" s="57" t="str">
        <f t="shared" si="1"/>
        <v>PortuguesaOspinoLa Estación</v>
      </c>
      <c r="K826" s="50" t="s">
        <v>262</v>
      </c>
      <c r="L826" s="50" t="s">
        <v>263</v>
      </c>
      <c r="M826" s="50" t="s">
        <v>2073</v>
      </c>
      <c r="N826" s="50" t="s">
        <v>519</v>
      </c>
      <c r="O826" s="50" t="s">
        <v>2078</v>
      </c>
      <c r="P826" s="50" t="s">
        <v>2079</v>
      </c>
    </row>
    <row r="827" ht="13.5" customHeight="1">
      <c r="B827" s="54"/>
      <c r="C827" s="38"/>
      <c r="D827" s="55"/>
      <c r="E827" s="56"/>
      <c r="F827" s="55"/>
      <c r="G827" s="55"/>
      <c r="H827" s="56"/>
      <c r="J827" s="57" t="str">
        <f t="shared" si="1"/>
        <v>PortuguesaPáezCapital Páez</v>
      </c>
      <c r="K827" s="50" t="s">
        <v>262</v>
      </c>
      <c r="L827" s="50" t="s">
        <v>263</v>
      </c>
      <c r="M827" s="50" t="s">
        <v>2080</v>
      </c>
      <c r="N827" s="50" t="s">
        <v>365</v>
      </c>
      <c r="O827" s="50" t="s">
        <v>2081</v>
      </c>
      <c r="P827" s="50" t="s">
        <v>2082</v>
      </c>
    </row>
    <row r="828" ht="13.5" customHeight="1">
      <c r="B828" s="54"/>
      <c r="C828" s="38"/>
      <c r="D828" s="55"/>
      <c r="E828" s="56"/>
      <c r="F828" s="55"/>
      <c r="G828" s="55"/>
      <c r="H828" s="56"/>
      <c r="J828" s="57" t="str">
        <f t="shared" si="1"/>
        <v>PortuguesaPáezPayara</v>
      </c>
      <c r="K828" s="50" t="s">
        <v>262</v>
      </c>
      <c r="L828" s="50" t="s">
        <v>263</v>
      </c>
      <c r="M828" s="50" t="s">
        <v>2080</v>
      </c>
      <c r="N828" s="50" t="s">
        <v>365</v>
      </c>
      <c r="O828" s="50" t="s">
        <v>2083</v>
      </c>
      <c r="P828" s="50" t="s">
        <v>2084</v>
      </c>
    </row>
    <row r="829" ht="13.5" customHeight="1">
      <c r="B829" s="54"/>
      <c r="C829" s="38"/>
      <c r="D829" s="55"/>
      <c r="E829" s="56"/>
      <c r="F829" s="55"/>
      <c r="G829" s="55"/>
      <c r="H829" s="56"/>
      <c r="J829" s="57" t="str">
        <f t="shared" si="1"/>
        <v>PortuguesaPáezPimpinela</v>
      </c>
      <c r="K829" s="50" t="s">
        <v>262</v>
      </c>
      <c r="L829" s="50" t="s">
        <v>263</v>
      </c>
      <c r="M829" s="50" t="s">
        <v>2080</v>
      </c>
      <c r="N829" s="50" t="s">
        <v>365</v>
      </c>
      <c r="O829" s="50" t="s">
        <v>2085</v>
      </c>
      <c r="P829" s="50" t="s">
        <v>2086</v>
      </c>
    </row>
    <row r="830" ht="13.5" customHeight="1">
      <c r="B830" s="54"/>
      <c r="C830" s="38"/>
      <c r="D830" s="55"/>
      <c r="E830" s="56"/>
      <c r="F830" s="55"/>
      <c r="G830" s="55"/>
      <c r="H830" s="56"/>
      <c r="J830" s="57" t="str">
        <f t="shared" si="1"/>
        <v>PortuguesaPáezRamón Peraza</v>
      </c>
      <c r="K830" s="50" t="s">
        <v>262</v>
      </c>
      <c r="L830" s="50" t="s">
        <v>263</v>
      </c>
      <c r="M830" s="50" t="s">
        <v>2080</v>
      </c>
      <c r="N830" s="50" t="s">
        <v>365</v>
      </c>
      <c r="O830" s="50" t="s">
        <v>2087</v>
      </c>
      <c r="P830" s="50" t="s">
        <v>2088</v>
      </c>
    </row>
    <row r="831" ht="13.5" customHeight="1">
      <c r="B831" s="54"/>
      <c r="C831" s="38"/>
      <c r="D831" s="55"/>
      <c r="E831" s="56"/>
      <c r="F831" s="55"/>
      <c r="G831" s="55"/>
      <c r="H831" s="56"/>
      <c r="J831" s="57" t="str">
        <f t="shared" si="1"/>
        <v>PortuguesaPapelónCapital Papelón</v>
      </c>
      <c r="K831" s="50" t="s">
        <v>262</v>
      </c>
      <c r="L831" s="50" t="s">
        <v>263</v>
      </c>
      <c r="M831" s="50" t="s">
        <v>2089</v>
      </c>
      <c r="N831" s="50" t="s">
        <v>537</v>
      </c>
      <c r="O831" s="50" t="s">
        <v>2090</v>
      </c>
      <c r="P831" s="50" t="s">
        <v>2091</v>
      </c>
    </row>
    <row r="832" ht="13.5" customHeight="1">
      <c r="B832" s="54"/>
      <c r="C832" s="38"/>
      <c r="D832" s="55"/>
      <c r="E832" s="56"/>
      <c r="F832" s="55"/>
      <c r="G832" s="55"/>
      <c r="H832" s="56"/>
      <c r="J832" s="57" t="str">
        <f t="shared" si="1"/>
        <v>PortuguesaPapelónCaño Delgadito</v>
      </c>
      <c r="K832" s="50" t="s">
        <v>262</v>
      </c>
      <c r="L832" s="50" t="s">
        <v>263</v>
      </c>
      <c r="M832" s="50" t="s">
        <v>2089</v>
      </c>
      <c r="N832" s="50" t="s">
        <v>537</v>
      </c>
      <c r="O832" s="50" t="s">
        <v>2092</v>
      </c>
      <c r="P832" s="50" t="s">
        <v>2093</v>
      </c>
    </row>
    <row r="833" ht="13.5" customHeight="1">
      <c r="B833" s="54"/>
      <c r="C833" s="38"/>
      <c r="D833" s="55"/>
      <c r="E833" s="56"/>
      <c r="F833" s="55"/>
      <c r="G833" s="55"/>
      <c r="H833" s="56"/>
      <c r="J833" s="57" t="str">
        <f t="shared" si="1"/>
        <v>PortuguesaSan Genaro De BoconoítoCapital San Genaro De Boconoito</v>
      </c>
      <c r="K833" s="50" t="s">
        <v>262</v>
      </c>
      <c r="L833" s="50" t="s">
        <v>263</v>
      </c>
      <c r="M833" s="50" t="s">
        <v>2094</v>
      </c>
      <c r="N833" s="50" t="s">
        <v>545</v>
      </c>
      <c r="O833" s="50" t="s">
        <v>2095</v>
      </c>
      <c r="P833" s="50" t="s">
        <v>2096</v>
      </c>
    </row>
    <row r="834" ht="13.5" customHeight="1">
      <c r="B834" s="54"/>
      <c r="C834" s="38"/>
      <c r="D834" s="55"/>
      <c r="E834" s="56"/>
      <c r="F834" s="55"/>
      <c r="G834" s="55"/>
      <c r="H834" s="56"/>
      <c r="J834" s="57" t="str">
        <f t="shared" si="1"/>
        <v>PortuguesaSan Genaro De BoconoítoAntolín Tovar Aquino</v>
      </c>
      <c r="K834" s="50" t="s">
        <v>262</v>
      </c>
      <c r="L834" s="50" t="s">
        <v>263</v>
      </c>
      <c r="M834" s="50" t="s">
        <v>2094</v>
      </c>
      <c r="N834" s="50" t="s">
        <v>545</v>
      </c>
      <c r="O834" s="50" t="s">
        <v>2097</v>
      </c>
      <c r="P834" s="50" t="s">
        <v>2098</v>
      </c>
    </row>
    <row r="835" ht="13.5" customHeight="1">
      <c r="B835" s="54"/>
      <c r="C835" s="38"/>
      <c r="D835" s="55"/>
      <c r="E835" s="56"/>
      <c r="F835" s="55"/>
      <c r="G835" s="55"/>
      <c r="H835" s="56"/>
      <c r="J835" s="57" t="str">
        <f t="shared" si="1"/>
        <v>PortuguesaSan Rafael De OnotoCapital San Rafael De Onoto</v>
      </c>
      <c r="K835" s="50" t="s">
        <v>262</v>
      </c>
      <c r="L835" s="50" t="s">
        <v>263</v>
      </c>
      <c r="M835" s="50" t="s">
        <v>2099</v>
      </c>
      <c r="N835" s="50" t="s">
        <v>552</v>
      </c>
      <c r="O835" s="50" t="s">
        <v>2100</v>
      </c>
      <c r="P835" s="50" t="s">
        <v>2101</v>
      </c>
    </row>
    <row r="836" ht="13.5" customHeight="1">
      <c r="B836" s="54"/>
      <c r="C836" s="38"/>
      <c r="D836" s="55"/>
      <c r="E836" s="56"/>
      <c r="F836" s="55"/>
      <c r="G836" s="55"/>
      <c r="H836" s="56"/>
      <c r="J836" s="57" t="str">
        <f t="shared" si="1"/>
        <v>PortuguesaSan Rafael De OnotoSanta Fe</v>
      </c>
      <c r="K836" s="50" t="s">
        <v>262</v>
      </c>
      <c r="L836" s="50" t="s">
        <v>263</v>
      </c>
      <c r="M836" s="50" t="s">
        <v>2099</v>
      </c>
      <c r="N836" s="50" t="s">
        <v>552</v>
      </c>
      <c r="O836" s="50" t="s">
        <v>2102</v>
      </c>
      <c r="P836" s="50" t="s">
        <v>2103</v>
      </c>
    </row>
    <row r="837" ht="13.5" customHeight="1">
      <c r="B837" s="54"/>
      <c r="C837" s="38"/>
      <c r="D837" s="55"/>
      <c r="E837" s="56"/>
      <c r="F837" s="55"/>
      <c r="G837" s="55"/>
      <c r="H837" s="56"/>
      <c r="J837" s="57" t="str">
        <f t="shared" si="1"/>
        <v>PortuguesaSan Rafael De OnotoThermo Morles</v>
      </c>
      <c r="K837" s="50" t="s">
        <v>262</v>
      </c>
      <c r="L837" s="50" t="s">
        <v>263</v>
      </c>
      <c r="M837" s="50" t="s">
        <v>2099</v>
      </c>
      <c r="N837" s="50" t="s">
        <v>552</v>
      </c>
      <c r="O837" s="50" t="s">
        <v>2104</v>
      </c>
      <c r="P837" s="50" t="s">
        <v>2105</v>
      </c>
    </row>
    <row r="838" ht="13.5" customHeight="1">
      <c r="B838" s="54"/>
      <c r="C838" s="38"/>
      <c r="D838" s="55"/>
      <c r="E838" s="56"/>
      <c r="F838" s="55"/>
      <c r="G838" s="55"/>
      <c r="H838" s="56"/>
      <c r="J838" s="57" t="str">
        <f t="shared" si="1"/>
        <v>PortuguesaSanta RosalíaCapital Santa Rosalía</v>
      </c>
      <c r="K838" s="50" t="s">
        <v>262</v>
      </c>
      <c r="L838" s="50" t="s">
        <v>263</v>
      </c>
      <c r="M838" s="50" t="s">
        <v>2106</v>
      </c>
      <c r="N838" s="50" t="s">
        <v>275</v>
      </c>
      <c r="O838" s="50" t="s">
        <v>2107</v>
      </c>
      <c r="P838" s="50" t="s">
        <v>2108</v>
      </c>
    </row>
    <row r="839" ht="13.5" customHeight="1">
      <c r="B839" s="54"/>
      <c r="C839" s="38"/>
      <c r="D839" s="55"/>
      <c r="E839" s="56"/>
      <c r="F839" s="55"/>
      <c r="G839" s="55"/>
      <c r="H839" s="56"/>
      <c r="J839" s="57" t="str">
        <f t="shared" si="1"/>
        <v>PortuguesaSanta RosalíaFlorida</v>
      </c>
      <c r="K839" s="50" t="s">
        <v>262</v>
      </c>
      <c r="L839" s="50" t="s">
        <v>263</v>
      </c>
      <c r="M839" s="50" t="s">
        <v>2106</v>
      </c>
      <c r="N839" s="50" t="s">
        <v>275</v>
      </c>
      <c r="O839" s="50" t="s">
        <v>2109</v>
      </c>
      <c r="P839" s="50" t="s">
        <v>2110</v>
      </c>
    </row>
    <row r="840" ht="13.5" customHeight="1">
      <c r="B840" s="54"/>
      <c r="C840" s="38"/>
      <c r="D840" s="55"/>
      <c r="E840" s="56"/>
      <c r="F840" s="55"/>
      <c r="G840" s="55"/>
      <c r="H840" s="56"/>
      <c r="J840" s="57" t="str">
        <f t="shared" si="1"/>
        <v>PortuguesaSucreCapital Sucre</v>
      </c>
      <c r="K840" s="50" t="s">
        <v>262</v>
      </c>
      <c r="L840" s="50" t="s">
        <v>263</v>
      </c>
      <c r="M840" s="50" t="s">
        <v>2111</v>
      </c>
      <c r="N840" s="50" t="s">
        <v>271</v>
      </c>
      <c r="O840" s="50" t="s">
        <v>2112</v>
      </c>
      <c r="P840" s="50" t="s">
        <v>1727</v>
      </c>
    </row>
    <row r="841" ht="13.5" customHeight="1">
      <c r="B841" s="54"/>
      <c r="C841" s="38"/>
      <c r="D841" s="55"/>
      <c r="E841" s="56"/>
      <c r="F841" s="55"/>
      <c r="G841" s="55"/>
      <c r="H841" s="56"/>
      <c r="J841" s="57" t="str">
        <f t="shared" si="1"/>
        <v>PortuguesaSucreConcepción</v>
      </c>
      <c r="K841" s="50" t="s">
        <v>262</v>
      </c>
      <c r="L841" s="50" t="s">
        <v>263</v>
      </c>
      <c r="M841" s="50" t="s">
        <v>2111</v>
      </c>
      <c r="N841" s="50" t="s">
        <v>271</v>
      </c>
      <c r="O841" s="50" t="s">
        <v>2113</v>
      </c>
      <c r="P841" s="50" t="s">
        <v>1467</v>
      </c>
    </row>
    <row r="842" ht="13.5" customHeight="1">
      <c r="B842" s="54"/>
      <c r="C842" s="38"/>
      <c r="D842" s="55"/>
      <c r="E842" s="56"/>
      <c r="F842" s="55"/>
      <c r="G842" s="55"/>
      <c r="H842" s="56"/>
      <c r="J842" s="57" t="str">
        <f t="shared" si="1"/>
        <v>PortuguesaSucreSan Rafael De Palo Alzado</v>
      </c>
      <c r="K842" s="50" t="s">
        <v>262</v>
      </c>
      <c r="L842" s="50" t="s">
        <v>263</v>
      </c>
      <c r="M842" s="50" t="s">
        <v>2111</v>
      </c>
      <c r="N842" s="50" t="s">
        <v>271</v>
      </c>
      <c r="O842" s="50" t="s">
        <v>2114</v>
      </c>
      <c r="P842" s="50" t="s">
        <v>2115</v>
      </c>
    </row>
    <row r="843" ht="13.5" customHeight="1">
      <c r="B843" s="54"/>
      <c r="C843" s="38"/>
      <c r="D843" s="55"/>
      <c r="E843" s="56"/>
      <c r="F843" s="55"/>
      <c r="G843" s="55"/>
      <c r="H843" s="56"/>
      <c r="J843" s="57" t="str">
        <f t="shared" si="1"/>
        <v>PortuguesaSucreUvencio Antonio Velásquez</v>
      </c>
      <c r="K843" s="50" t="s">
        <v>262</v>
      </c>
      <c r="L843" s="50" t="s">
        <v>263</v>
      </c>
      <c r="M843" s="50" t="s">
        <v>2111</v>
      </c>
      <c r="N843" s="50" t="s">
        <v>271</v>
      </c>
      <c r="O843" s="50" t="s">
        <v>2116</v>
      </c>
      <c r="P843" s="50" t="s">
        <v>2117</v>
      </c>
    </row>
    <row r="844" ht="13.5" customHeight="1">
      <c r="B844" s="54"/>
      <c r="C844" s="38"/>
      <c r="D844" s="55"/>
      <c r="E844" s="56"/>
      <c r="F844" s="55"/>
      <c r="G844" s="55"/>
      <c r="H844" s="56"/>
      <c r="J844" s="57" t="str">
        <f t="shared" si="1"/>
        <v>PortuguesaSucreSan José De Saguaz</v>
      </c>
      <c r="K844" s="50" t="s">
        <v>262</v>
      </c>
      <c r="L844" s="50" t="s">
        <v>263</v>
      </c>
      <c r="M844" s="50" t="s">
        <v>2111</v>
      </c>
      <c r="N844" s="50" t="s">
        <v>271</v>
      </c>
      <c r="O844" s="50" t="s">
        <v>2118</v>
      </c>
      <c r="P844" s="50" t="s">
        <v>2119</v>
      </c>
    </row>
    <row r="845" ht="13.5" customHeight="1">
      <c r="B845" s="54"/>
      <c r="C845" s="38"/>
      <c r="D845" s="55"/>
      <c r="E845" s="56"/>
      <c r="F845" s="55"/>
      <c r="G845" s="55"/>
      <c r="H845" s="56"/>
      <c r="J845" s="57" t="str">
        <f t="shared" si="1"/>
        <v>PortuguesaSucreVilla Rosa</v>
      </c>
      <c r="K845" s="50" t="s">
        <v>262</v>
      </c>
      <c r="L845" s="50" t="s">
        <v>263</v>
      </c>
      <c r="M845" s="50" t="s">
        <v>2111</v>
      </c>
      <c r="N845" s="50" t="s">
        <v>271</v>
      </c>
      <c r="O845" s="50" t="s">
        <v>2120</v>
      </c>
      <c r="P845" s="50" t="s">
        <v>2121</v>
      </c>
    </row>
    <row r="846" ht="13.5" customHeight="1">
      <c r="B846" s="54"/>
      <c r="C846" s="38"/>
      <c r="D846" s="55"/>
      <c r="E846" s="56"/>
      <c r="F846" s="55"/>
      <c r="G846" s="55"/>
      <c r="H846" s="56"/>
      <c r="J846" s="57" t="str">
        <f t="shared" si="1"/>
        <v>PortuguesaTurénCapital Turén</v>
      </c>
      <c r="K846" s="50" t="s">
        <v>262</v>
      </c>
      <c r="L846" s="50" t="s">
        <v>263</v>
      </c>
      <c r="M846" s="50" t="s">
        <v>2122</v>
      </c>
      <c r="N846" s="50" t="s">
        <v>567</v>
      </c>
      <c r="O846" s="50" t="s">
        <v>2123</v>
      </c>
      <c r="P846" s="50" t="s">
        <v>2124</v>
      </c>
    </row>
    <row r="847" ht="13.5" customHeight="1">
      <c r="B847" s="54"/>
      <c r="C847" s="38"/>
      <c r="D847" s="55"/>
      <c r="E847" s="56"/>
      <c r="F847" s="55"/>
      <c r="G847" s="55"/>
      <c r="H847" s="56"/>
      <c r="J847" s="57" t="str">
        <f t="shared" si="1"/>
        <v>PortuguesaTurénCanelones</v>
      </c>
      <c r="K847" s="50" t="s">
        <v>262</v>
      </c>
      <c r="L847" s="50" t="s">
        <v>263</v>
      </c>
      <c r="M847" s="50" t="s">
        <v>2122</v>
      </c>
      <c r="N847" s="50" t="s">
        <v>567</v>
      </c>
      <c r="O847" s="50" t="s">
        <v>2125</v>
      </c>
      <c r="P847" s="50" t="s">
        <v>2126</v>
      </c>
    </row>
    <row r="848" ht="13.5" customHeight="1">
      <c r="B848" s="54"/>
      <c r="C848" s="38"/>
      <c r="D848" s="55"/>
      <c r="E848" s="56"/>
      <c r="F848" s="55"/>
      <c r="G848" s="55"/>
      <c r="H848" s="56"/>
      <c r="J848" s="57" t="str">
        <f t="shared" si="1"/>
        <v>PortuguesaTurénSanta Cruz</v>
      </c>
      <c r="K848" s="50" t="s">
        <v>262</v>
      </c>
      <c r="L848" s="50" t="s">
        <v>263</v>
      </c>
      <c r="M848" s="50" t="s">
        <v>2122</v>
      </c>
      <c r="N848" s="50" t="s">
        <v>567</v>
      </c>
      <c r="O848" s="50" t="s">
        <v>2127</v>
      </c>
      <c r="P848" s="50" t="s">
        <v>1947</v>
      </c>
    </row>
    <row r="849" ht="13.5" customHeight="1">
      <c r="B849" s="54"/>
      <c r="C849" s="38"/>
      <c r="D849" s="55"/>
      <c r="E849" s="56"/>
      <c r="F849" s="55"/>
      <c r="G849" s="55"/>
      <c r="H849" s="56"/>
      <c r="J849" s="57" t="str">
        <f t="shared" si="1"/>
        <v>PortuguesaTurénSan Isidro Labrador</v>
      </c>
      <c r="K849" s="50" t="s">
        <v>262</v>
      </c>
      <c r="L849" s="50" t="s">
        <v>263</v>
      </c>
      <c r="M849" s="50" t="s">
        <v>2122</v>
      </c>
      <c r="N849" s="50" t="s">
        <v>567</v>
      </c>
      <c r="O849" s="50" t="s">
        <v>2128</v>
      </c>
      <c r="P849" s="50" t="s">
        <v>2129</v>
      </c>
    </row>
    <row r="850" ht="13.5" customHeight="1">
      <c r="B850" s="54"/>
      <c r="C850" s="38"/>
      <c r="D850" s="55"/>
      <c r="E850" s="56"/>
      <c r="F850" s="55"/>
      <c r="G850" s="55"/>
      <c r="H850" s="56"/>
      <c r="J850" s="57" t="str">
        <f t="shared" si="1"/>
        <v>SucreAndrés Eloy BlancoMariño</v>
      </c>
      <c r="K850" s="50" t="s">
        <v>270</v>
      </c>
      <c r="L850" s="50" t="s">
        <v>271</v>
      </c>
      <c r="M850" s="50" t="s">
        <v>2130</v>
      </c>
      <c r="N850" s="50" t="s">
        <v>456</v>
      </c>
      <c r="O850" s="50" t="s">
        <v>2131</v>
      </c>
      <c r="P850" s="50" t="s">
        <v>526</v>
      </c>
    </row>
    <row r="851" ht="13.5" customHeight="1">
      <c r="B851" s="54"/>
      <c r="C851" s="38"/>
      <c r="D851" s="55"/>
      <c r="E851" s="56"/>
      <c r="F851" s="55"/>
      <c r="G851" s="55"/>
      <c r="H851" s="56"/>
      <c r="J851" s="57" t="str">
        <f t="shared" si="1"/>
        <v>SucreAndrés Eloy BlancoRómulo Gallegos</v>
      </c>
      <c r="K851" s="50" t="s">
        <v>270</v>
      </c>
      <c r="L851" s="50" t="s">
        <v>271</v>
      </c>
      <c r="M851" s="50" t="s">
        <v>2130</v>
      </c>
      <c r="N851" s="50" t="s">
        <v>456</v>
      </c>
      <c r="O851" s="50" t="s">
        <v>2132</v>
      </c>
      <c r="P851" s="50" t="s">
        <v>377</v>
      </c>
    </row>
    <row r="852" ht="13.5" customHeight="1">
      <c r="B852" s="54"/>
      <c r="C852" s="38"/>
      <c r="D852" s="55"/>
      <c r="E852" s="56"/>
      <c r="F852" s="55"/>
      <c r="G852" s="55"/>
      <c r="H852" s="56"/>
      <c r="J852" s="57" t="str">
        <f t="shared" si="1"/>
        <v>SucreAndrés MataSan José De Aerocuar</v>
      </c>
      <c r="K852" s="50" t="s">
        <v>270</v>
      </c>
      <c r="L852" s="50" t="s">
        <v>271</v>
      </c>
      <c r="M852" s="50" t="s">
        <v>2133</v>
      </c>
      <c r="N852" s="50" t="s">
        <v>475</v>
      </c>
      <c r="O852" s="50" t="s">
        <v>2134</v>
      </c>
      <c r="P852" s="50" t="s">
        <v>2135</v>
      </c>
    </row>
    <row r="853" ht="13.5" customHeight="1">
      <c r="B853" s="54"/>
      <c r="C853" s="38"/>
      <c r="D853" s="55"/>
      <c r="E853" s="56"/>
      <c r="F853" s="55"/>
      <c r="G853" s="55"/>
      <c r="H853" s="56"/>
      <c r="J853" s="57" t="str">
        <f t="shared" si="1"/>
        <v>SucreAndrés MataTavera Acosta</v>
      </c>
      <c r="K853" s="50" t="s">
        <v>270</v>
      </c>
      <c r="L853" s="50" t="s">
        <v>271</v>
      </c>
      <c r="M853" s="50" t="s">
        <v>2133</v>
      </c>
      <c r="N853" s="50" t="s">
        <v>475</v>
      </c>
      <c r="O853" s="50" t="s">
        <v>2136</v>
      </c>
      <c r="P853" s="50" t="s">
        <v>2137</v>
      </c>
    </row>
    <row r="854" ht="13.5" customHeight="1">
      <c r="B854" s="54"/>
      <c r="C854" s="38"/>
      <c r="D854" s="55"/>
      <c r="E854" s="56"/>
      <c r="F854" s="55"/>
      <c r="G854" s="55"/>
      <c r="H854" s="56"/>
      <c r="J854" s="57" t="str">
        <f t="shared" si="1"/>
        <v>SucreArismendiRio Caribe</v>
      </c>
      <c r="K854" s="50" t="s">
        <v>270</v>
      </c>
      <c r="L854" s="50" t="s">
        <v>271</v>
      </c>
      <c r="M854" s="50" t="s">
        <v>2138</v>
      </c>
      <c r="N854" s="50" t="s">
        <v>469</v>
      </c>
      <c r="O854" s="50" t="s">
        <v>2139</v>
      </c>
      <c r="P854" s="50" t="s">
        <v>2140</v>
      </c>
    </row>
    <row r="855" ht="13.5" customHeight="1">
      <c r="B855" s="54"/>
      <c r="C855" s="38"/>
      <c r="D855" s="55"/>
      <c r="E855" s="56"/>
      <c r="F855" s="55"/>
      <c r="G855" s="55"/>
      <c r="H855" s="56"/>
      <c r="J855" s="57" t="str">
        <f t="shared" si="1"/>
        <v>SucreArismendiAntonio José De Sucre</v>
      </c>
      <c r="K855" s="50" t="s">
        <v>270</v>
      </c>
      <c r="L855" s="50" t="s">
        <v>271</v>
      </c>
      <c r="M855" s="50" t="s">
        <v>2138</v>
      </c>
      <c r="N855" s="50" t="s">
        <v>469</v>
      </c>
      <c r="O855" s="50" t="s">
        <v>2141</v>
      </c>
      <c r="P855" s="50" t="s">
        <v>470</v>
      </c>
    </row>
    <row r="856" ht="13.5" customHeight="1">
      <c r="B856" s="54"/>
      <c r="C856" s="38"/>
      <c r="D856" s="55"/>
      <c r="E856" s="56"/>
      <c r="F856" s="55"/>
      <c r="G856" s="55"/>
      <c r="H856" s="56"/>
      <c r="J856" s="57" t="str">
        <f t="shared" si="1"/>
        <v>SucreArismendiEl Morro De Puerto Santo</v>
      </c>
      <c r="K856" s="50" t="s">
        <v>270</v>
      </c>
      <c r="L856" s="50" t="s">
        <v>271</v>
      </c>
      <c r="M856" s="50" t="s">
        <v>2138</v>
      </c>
      <c r="N856" s="50" t="s">
        <v>469</v>
      </c>
      <c r="O856" s="50" t="s">
        <v>2142</v>
      </c>
      <c r="P856" s="50" t="s">
        <v>2143</v>
      </c>
    </row>
    <row r="857" ht="13.5" customHeight="1">
      <c r="B857" s="54"/>
      <c r="C857" s="38"/>
      <c r="D857" s="55"/>
      <c r="E857" s="56"/>
      <c r="F857" s="55"/>
      <c r="G857" s="55"/>
      <c r="H857" s="56"/>
      <c r="J857" s="57" t="str">
        <f t="shared" si="1"/>
        <v>SucreArismendiPuerto Santo</v>
      </c>
      <c r="K857" s="50" t="s">
        <v>270</v>
      </c>
      <c r="L857" s="50" t="s">
        <v>271</v>
      </c>
      <c r="M857" s="50" t="s">
        <v>2138</v>
      </c>
      <c r="N857" s="50" t="s">
        <v>469</v>
      </c>
      <c r="O857" s="50" t="s">
        <v>2144</v>
      </c>
      <c r="P857" s="50" t="s">
        <v>2145</v>
      </c>
    </row>
    <row r="858" ht="13.5" customHeight="1">
      <c r="B858" s="54"/>
      <c r="C858" s="38"/>
      <c r="D858" s="55"/>
      <c r="E858" s="56"/>
      <c r="F858" s="55"/>
      <c r="G858" s="55"/>
      <c r="H858" s="56"/>
      <c r="J858" s="57" t="str">
        <f t="shared" si="1"/>
        <v>SucreArismendiSan Juan De Las Galdonas</v>
      </c>
      <c r="K858" s="50" t="s">
        <v>270</v>
      </c>
      <c r="L858" s="50" t="s">
        <v>271</v>
      </c>
      <c r="M858" s="50" t="s">
        <v>2138</v>
      </c>
      <c r="N858" s="50" t="s">
        <v>469</v>
      </c>
      <c r="O858" s="50" t="s">
        <v>2146</v>
      </c>
      <c r="P858" s="50" t="s">
        <v>2147</v>
      </c>
    </row>
    <row r="859" ht="13.5" customHeight="1">
      <c r="B859" s="54"/>
      <c r="C859" s="38"/>
      <c r="D859" s="55"/>
      <c r="E859" s="56"/>
      <c r="F859" s="55"/>
      <c r="G859" s="55"/>
      <c r="H859" s="56"/>
      <c r="J859" s="57" t="str">
        <f t="shared" si="1"/>
        <v>SucreBenítezEl Pilar</v>
      </c>
      <c r="K859" s="50" t="s">
        <v>270</v>
      </c>
      <c r="L859" s="50" t="s">
        <v>271</v>
      </c>
      <c r="M859" s="50" t="s">
        <v>2148</v>
      </c>
      <c r="N859" s="50" t="s">
        <v>495</v>
      </c>
      <c r="O859" s="50" t="s">
        <v>2149</v>
      </c>
      <c r="P859" s="50" t="s">
        <v>657</v>
      </c>
    </row>
    <row r="860" ht="13.5" customHeight="1">
      <c r="B860" s="54"/>
      <c r="C860" s="38"/>
      <c r="D860" s="55"/>
      <c r="E860" s="56"/>
      <c r="F860" s="55"/>
      <c r="G860" s="55"/>
      <c r="H860" s="56"/>
      <c r="J860" s="57" t="str">
        <f t="shared" si="1"/>
        <v>SucreBenítezEl Rincón</v>
      </c>
      <c r="K860" s="50" t="s">
        <v>270</v>
      </c>
      <c r="L860" s="50" t="s">
        <v>271</v>
      </c>
      <c r="M860" s="50" t="s">
        <v>2148</v>
      </c>
      <c r="N860" s="50" t="s">
        <v>495</v>
      </c>
      <c r="O860" s="50" t="s">
        <v>2150</v>
      </c>
      <c r="P860" s="50" t="s">
        <v>2151</v>
      </c>
    </row>
    <row r="861" ht="13.5" customHeight="1">
      <c r="B861" s="54"/>
      <c r="C861" s="38"/>
      <c r="D861" s="55"/>
      <c r="E861" s="56"/>
      <c r="F861" s="55"/>
      <c r="G861" s="55"/>
      <c r="H861" s="56"/>
      <c r="J861" s="57" t="str">
        <f t="shared" si="1"/>
        <v>SucreBenítezGeneral  Francisco Antonio Vásquez</v>
      </c>
      <c r="K861" s="50" t="s">
        <v>270</v>
      </c>
      <c r="L861" s="50" t="s">
        <v>271</v>
      </c>
      <c r="M861" s="50" t="s">
        <v>2148</v>
      </c>
      <c r="N861" s="50" t="s">
        <v>495</v>
      </c>
      <c r="O861" s="50" t="s">
        <v>2152</v>
      </c>
      <c r="P861" s="50" t="s">
        <v>2153</v>
      </c>
    </row>
    <row r="862" ht="13.5" customHeight="1">
      <c r="B862" s="54"/>
      <c r="C862" s="38"/>
      <c r="D862" s="55"/>
      <c r="E862" s="56"/>
      <c r="F862" s="55"/>
      <c r="G862" s="55"/>
      <c r="H862" s="56"/>
      <c r="J862" s="57" t="str">
        <f t="shared" si="1"/>
        <v>SucreBenítezGuaraunos</v>
      </c>
      <c r="K862" s="50" t="s">
        <v>270</v>
      </c>
      <c r="L862" s="50" t="s">
        <v>271</v>
      </c>
      <c r="M862" s="50" t="s">
        <v>2148</v>
      </c>
      <c r="N862" s="50" t="s">
        <v>495</v>
      </c>
      <c r="O862" s="50" t="s">
        <v>2154</v>
      </c>
      <c r="P862" s="50" t="s">
        <v>2155</v>
      </c>
    </row>
    <row r="863" ht="13.5" customHeight="1">
      <c r="B863" s="54"/>
      <c r="C863" s="38"/>
      <c r="D863" s="55"/>
      <c r="E863" s="56"/>
      <c r="F863" s="55"/>
      <c r="G863" s="55"/>
      <c r="H863" s="56"/>
      <c r="J863" s="57" t="str">
        <f t="shared" si="1"/>
        <v>SucreBenítezTunapuicito</v>
      </c>
      <c r="K863" s="50" t="s">
        <v>270</v>
      </c>
      <c r="L863" s="50" t="s">
        <v>271</v>
      </c>
      <c r="M863" s="50" t="s">
        <v>2148</v>
      </c>
      <c r="N863" s="50" t="s">
        <v>495</v>
      </c>
      <c r="O863" s="50" t="s">
        <v>2156</v>
      </c>
      <c r="P863" s="50" t="s">
        <v>2157</v>
      </c>
    </row>
    <row r="864" ht="13.5" customHeight="1">
      <c r="B864" s="54"/>
      <c r="C864" s="38"/>
      <c r="D864" s="55"/>
      <c r="E864" s="56"/>
      <c r="F864" s="55"/>
      <c r="G864" s="55"/>
      <c r="H864" s="56"/>
      <c r="J864" s="57" t="str">
        <f t="shared" si="1"/>
        <v>SucreBenítezUnión</v>
      </c>
      <c r="K864" s="50" t="s">
        <v>270</v>
      </c>
      <c r="L864" s="50" t="s">
        <v>271</v>
      </c>
      <c r="M864" s="50" t="s">
        <v>2148</v>
      </c>
      <c r="N864" s="50" t="s">
        <v>495</v>
      </c>
      <c r="O864" s="50" t="s">
        <v>2158</v>
      </c>
      <c r="P864" s="50" t="s">
        <v>1344</v>
      </c>
    </row>
    <row r="865" ht="13.5" customHeight="1">
      <c r="B865" s="54"/>
      <c r="C865" s="38"/>
      <c r="D865" s="55"/>
      <c r="E865" s="56"/>
      <c r="F865" s="55"/>
      <c r="G865" s="55"/>
      <c r="H865" s="56"/>
      <c r="J865" s="57" t="str">
        <f t="shared" si="1"/>
        <v>SucreBermúdezBolívar</v>
      </c>
      <c r="K865" s="50" t="s">
        <v>270</v>
      </c>
      <c r="L865" s="50" t="s">
        <v>271</v>
      </c>
      <c r="M865" s="50" t="s">
        <v>2159</v>
      </c>
      <c r="N865" s="50" t="s">
        <v>503</v>
      </c>
      <c r="O865" s="50" t="s">
        <v>2160</v>
      </c>
      <c r="P865" s="50" t="s">
        <v>129</v>
      </c>
    </row>
    <row r="866" ht="13.5" customHeight="1">
      <c r="B866" s="54"/>
      <c r="C866" s="38"/>
      <c r="D866" s="55"/>
      <c r="E866" s="56"/>
      <c r="F866" s="55"/>
      <c r="G866" s="55"/>
      <c r="H866" s="56"/>
      <c r="J866" s="57" t="str">
        <f t="shared" si="1"/>
        <v>SucreBermúdezMacarapana</v>
      </c>
      <c r="K866" s="50" t="s">
        <v>270</v>
      </c>
      <c r="L866" s="50" t="s">
        <v>271</v>
      </c>
      <c r="M866" s="50" t="s">
        <v>2159</v>
      </c>
      <c r="N866" s="50" t="s">
        <v>503</v>
      </c>
      <c r="O866" s="50" t="s">
        <v>2161</v>
      </c>
      <c r="P866" s="50" t="s">
        <v>2162</v>
      </c>
    </row>
    <row r="867" ht="13.5" customHeight="1">
      <c r="B867" s="54"/>
      <c r="C867" s="38"/>
      <c r="D867" s="55"/>
      <c r="E867" s="56"/>
      <c r="F867" s="55"/>
      <c r="G867" s="55"/>
      <c r="H867" s="56"/>
      <c r="J867" s="57" t="str">
        <f t="shared" si="1"/>
        <v>SucreBermúdezSanta Catalina</v>
      </c>
      <c r="K867" s="50" t="s">
        <v>270</v>
      </c>
      <c r="L867" s="50" t="s">
        <v>271</v>
      </c>
      <c r="M867" s="50" t="s">
        <v>2159</v>
      </c>
      <c r="N867" s="50" t="s">
        <v>503</v>
      </c>
      <c r="O867" s="50" t="s">
        <v>2163</v>
      </c>
      <c r="P867" s="50" t="s">
        <v>906</v>
      </c>
    </row>
    <row r="868" ht="13.5" customHeight="1">
      <c r="B868" s="54"/>
      <c r="C868" s="38"/>
      <c r="D868" s="55"/>
      <c r="E868" s="56"/>
      <c r="F868" s="55"/>
      <c r="G868" s="55"/>
      <c r="H868" s="56"/>
      <c r="J868" s="57" t="str">
        <f t="shared" si="1"/>
        <v>SucreBermúdezSanta Rosa</v>
      </c>
      <c r="K868" s="50" t="s">
        <v>270</v>
      </c>
      <c r="L868" s="50" t="s">
        <v>271</v>
      </c>
      <c r="M868" s="50" t="s">
        <v>2159</v>
      </c>
      <c r="N868" s="50" t="s">
        <v>503</v>
      </c>
      <c r="O868" s="50" t="s">
        <v>2164</v>
      </c>
      <c r="P868" s="50" t="s">
        <v>632</v>
      </c>
    </row>
    <row r="869" ht="13.5" customHeight="1">
      <c r="B869" s="54"/>
      <c r="C869" s="38"/>
      <c r="D869" s="55"/>
      <c r="E869" s="56"/>
      <c r="F869" s="55"/>
      <c r="G869" s="55"/>
      <c r="H869" s="56"/>
      <c r="J869" s="57" t="str">
        <f t="shared" si="1"/>
        <v>SucreBermúdezSanta Teresa</v>
      </c>
      <c r="K869" s="50" t="s">
        <v>270</v>
      </c>
      <c r="L869" s="50" t="s">
        <v>271</v>
      </c>
      <c r="M869" s="50" t="s">
        <v>2159</v>
      </c>
      <c r="N869" s="50" t="s">
        <v>503</v>
      </c>
      <c r="O869" s="50" t="s">
        <v>2165</v>
      </c>
      <c r="P869" s="50" t="s">
        <v>284</v>
      </c>
    </row>
    <row r="870" ht="13.5" customHeight="1">
      <c r="B870" s="54"/>
      <c r="C870" s="38"/>
      <c r="D870" s="55"/>
      <c r="E870" s="56"/>
      <c r="F870" s="55"/>
      <c r="G870" s="55"/>
      <c r="H870" s="56"/>
      <c r="J870" s="57" t="str">
        <f t="shared" si="1"/>
        <v>SucreBolívarCapital Bolívar</v>
      </c>
      <c r="K870" s="50" t="s">
        <v>270</v>
      </c>
      <c r="L870" s="50" t="s">
        <v>271</v>
      </c>
      <c r="M870" s="50" t="s">
        <v>2166</v>
      </c>
      <c r="N870" s="50" t="s">
        <v>129</v>
      </c>
      <c r="O870" s="50" t="s">
        <v>2167</v>
      </c>
      <c r="P870" s="50" t="s">
        <v>721</v>
      </c>
    </row>
    <row r="871" ht="13.5" customHeight="1">
      <c r="B871" s="54"/>
      <c r="C871" s="38"/>
      <c r="D871" s="55"/>
      <c r="E871" s="56"/>
      <c r="F871" s="55"/>
      <c r="G871" s="55"/>
      <c r="H871" s="56"/>
      <c r="J871" s="57" t="str">
        <f t="shared" si="1"/>
        <v>SucreCajigalYaguaraparo</v>
      </c>
      <c r="K871" s="50" t="s">
        <v>270</v>
      </c>
      <c r="L871" s="50" t="s">
        <v>271</v>
      </c>
      <c r="M871" s="50" t="s">
        <v>2168</v>
      </c>
      <c r="N871" s="50" t="s">
        <v>522</v>
      </c>
      <c r="O871" s="50" t="s">
        <v>2169</v>
      </c>
      <c r="P871" s="50" t="s">
        <v>2170</v>
      </c>
    </row>
    <row r="872" ht="13.5" customHeight="1">
      <c r="B872" s="54"/>
      <c r="C872" s="38"/>
      <c r="D872" s="55"/>
      <c r="E872" s="56"/>
      <c r="F872" s="55"/>
      <c r="G872" s="55"/>
      <c r="H872" s="56"/>
      <c r="J872" s="57" t="str">
        <f t="shared" si="1"/>
        <v>SucreCajigalEl Paujil</v>
      </c>
      <c r="K872" s="50" t="s">
        <v>270</v>
      </c>
      <c r="L872" s="50" t="s">
        <v>271</v>
      </c>
      <c r="M872" s="50" t="s">
        <v>2168</v>
      </c>
      <c r="N872" s="50" t="s">
        <v>522</v>
      </c>
      <c r="O872" s="50" t="s">
        <v>2171</v>
      </c>
      <c r="P872" s="50" t="s">
        <v>2172</v>
      </c>
    </row>
    <row r="873" ht="13.5" customHeight="1">
      <c r="B873" s="54"/>
      <c r="C873" s="38"/>
      <c r="D873" s="55"/>
      <c r="E873" s="56"/>
      <c r="F873" s="55"/>
      <c r="G873" s="55"/>
      <c r="H873" s="56"/>
      <c r="J873" s="57" t="str">
        <f t="shared" si="1"/>
        <v>SucreCajigalLibertad</v>
      </c>
      <c r="K873" s="50" t="s">
        <v>270</v>
      </c>
      <c r="L873" s="50" t="s">
        <v>271</v>
      </c>
      <c r="M873" s="50" t="s">
        <v>2168</v>
      </c>
      <c r="N873" s="50" t="s">
        <v>522</v>
      </c>
      <c r="O873" s="50" t="s">
        <v>2173</v>
      </c>
      <c r="P873" s="50" t="s">
        <v>273</v>
      </c>
    </row>
    <row r="874" ht="13.5" customHeight="1">
      <c r="B874" s="54"/>
      <c r="C874" s="38"/>
      <c r="D874" s="55"/>
      <c r="E874" s="56"/>
      <c r="F874" s="55"/>
      <c r="G874" s="55"/>
      <c r="H874" s="56"/>
      <c r="J874" s="57" t="str">
        <f t="shared" si="1"/>
        <v>SucreCruz Salmerón AcostaAraya</v>
      </c>
      <c r="K874" s="50" t="s">
        <v>270</v>
      </c>
      <c r="L874" s="50" t="s">
        <v>271</v>
      </c>
      <c r="M874" s="50" t="s">
        <v>2174</v>
      </c>
      <c r="N874" s="50" t="s">
        <v>530</v>
      </c>
      <c r="O874" s="50" t="s">
        <v>2175</v>
      </c>
      <c r="P874" s="50" t="s">
        <v>2176</v>
      </c>
    </row>
    <row r="875" ht="13.5" customHeight="1">
      <c r="B875" s="54"/>
      <c r="C875" s="38"/>
      <c r="D875" s="55"/>
      <c r="E875" s="56"/>
      <c r="F875" s="55"/>
      <c r="G875" s="55"/>
      <c r="H875" s="56"/>
      <c r="J875" s="57" t="str">
        <f t="shared" si="1"/>
        <v>SucreCruz Salmerón AcostaChacopata</v>
      </c>
      <c r="K875" s="50" t="s">
        <v>270</v>
      </c>
      <c r="L875" s="50" t="s">
        <v>271</v>
      </c>
      <c r="M875" s="50" t="s">
        <v>2174</v>
      </c>
      <c r="N875" s="50" t="s">
        <v>530</v>
      </c>
      <c r="O875" s="50" t="s">
        <v>2177</v>
      </c>
      <c r="P875" s="50" t="s">
        <v>2178</v>
      </c>
    </row>
    <row r="876" ht="13.5" customHeight="1">
      <c r="B876" s="54"/>
      <c r="C876" s="38"/>
      <c r="D876" s="55"/>
      <c r="E876" s="56"/>
      <c r="F876" s="55"/>
      <c r="G876" s="55"/>
      <c r="H876" s="56"/>
      <c r="J876" s="57" t="str">
        <f t="shared" si="1"/>
        <v>SucreCruz Salmerón AcostaManicuare</v>
      </c>
      <c r="K876" s="50" t="s">
        <v>270</v>
      </c>
      <c r="L876" s="50" t="s">
        <v>271</v>
      </c>
      <c r="M876" s="50" t="s">
        <v>2174</v>
      </c>
      <c r="N876" s="50" t="s">
        <v>530</v>
      </c>
      <c r="O876" s="50" t="s">
        <v>2179</v>
      </c>
      <c r="P876" s="50" t="s">
        <v>2180</v>
      </c>
    </row>
    <row r="877" ht="13.5" customHeight="1">
      <c r="B877" s="54"/>
      <c r="C877" s="38"/>
      <c r="D877" s="55"/>
      <c r="E877" s="56"/>
      <c r="F877" s="55"/>
      <c r="G877" s="55"/>
      <c r="H877" s="56"/>
      <c r="J877" s="57" t="str">
        <f t="shared" si="1"/>
        <v>SucreLibertadorTunapuy</v>
      </c>
      <c r="K877" s="50" t="s">
        <v>270</v>
      </c>
      <c r="L877" s="50" t="s">
        <v>271</v>
      </c>
      <c r="M877" s="50" t="s">
        <v>2181</v>
      </c>
      <c r="N877" s="50" t="s">
        <v>34</v>
      </c>
      <c r="O877" s="50" t="s">
        <v>2182</v>
      </c>
      <c r="P877" s="50" t="s">
        <v>2183</v>
      </c>
    </row>
    <row r="878" ht="13.5" customHeight="1">
      <c r="B878" s="54"/>
      <c r="C878" s="38"/>
      <c r="D878" s="55"/>
      <c r="E878" s="56"/>
      <c r="F878" s="55"/>
      <c r="G878" s="55"/>
      <c r="H878" s="56"/>
      <c r="J878" s="57" t="str">
        <f t="shared" si="1"/>
        <v>SucreLibertadorCampo Elías</v>
      </c>
      <c r="K878" s="50" t="s">
        <v>270</v>
      </c>
      <c r="L878" s="50" t="s">
        <v>271</v>
      </c>
      <c r="M878" s="50" t="s">
        <v>2181</v>
      </c>
      <c r="N878" s="50" t="s">
        <v>34</v>
      </c>
      <c r="O878" s="50" t="s">
        <v>2184</v>
      </c>
      <c r="P878" s="50" t="s">
        <v>1609</v>
      </c>
    </row>
    <row r="879" ht="13.5" customHeight="1">
      <c r="B879" s="54"/>
      <c r="C879" s="38"/>
      <c r="D879" s="55"/>
      <c r="E879" s="56"/>
      <c r="F879" s="55"/>
      <c r="G879" s="55"/>
      <c r="H879" s="56"/>
      <c r="J879" s="57" t="str">
        <f t="shared" si="1"/>
        <v>SucreMariñoIrapa</v>
      </c>
      <c r="K879" s="50" t="s">
        <v>270</v>
      </c>
      <c r="L879" s="50" t="s">
        <v>271</v>
      </c>
      <c r="M879" s="50" t="s">
        <v>2185</v>
      </c>
      <c r="N879" s="50" t="s">
        <v>526</v>
      </c>
      <c r="O879" s="50" t="s">
        <v>2186</v>
      </c>
      <c r="P879" s="50" t="s">
        <v>2187</v>
      </c>
    </row>
    <row r="880" ht="13.5" customHeight="1">
      <c r="B880" s="54"/>
      <c r="C880" s="38"/>
      <c r="D880" s="55"/>
      <c r="E880" s="56"/>
      <c r="F880" s="55"/>
      <c r="G880" s="55"/>
      <c r="H880" s="56"/>
      <c r="J880" s="57" t="str">
        <f t="shared" si="1"/>
        <v>SucreMariñoCampo Claro</v>
      </c>
      <c r="K880" s="50" t="s">
        <v>270</v>
      </c>
      <c r="L880" s="50" t="s">
        <v>271</v>
      </c>
      <c r="M880" s="50" t="s">
        <v>2185</v>
      </c>
      <c r="N880" s="50" t="s">
        <v>526</v>
      </c>
      <c r="O880" s="50" t="s">
        <v>2188</v>
      </c>
      <c r="P880" s="50" t="s">
        <v>2189</v>
      </c>
    </row>
    <row r="881" ht="13.5" customHeight="1">
      <c r="B881" s="54"/>
      <c r="C881" s="38"/>
      <c r="D881" s="55"/>
      <c r="E881" s="56"/>
      <c r="F881" s="55"/>
      <c r="G881" s="55"/>
      <c r="H881" s="56"/>
      <c r="J881" s="57" t="str">
        <f t="shared" si="1"/>
        <v>SucreMariñoMarabal</v>
      </c>
      <c r="K881" s="50" t="s">
        <v>270</v>
      </c>
      <c r="L881" s="50" t="s">
        <v>271</v>
      </c>
      <c r="M881" s="50" t="s">
        <v>2185</v>
      </c>
      <c r="N881" s="50" t="s">
        <v>526</v>
      </c>
      <c r="O881" s="50" t="s">
        <v>2190</v>
      </c>
      <c r="P881" s="50" t="s">
        <v>2191</v>
      </c>
    </row>
    <row r="882" ht="13.5" customHeight="1">
      <c r="B882" s="54"/>
      <c r="C882" s="38"/>
      <c r="D882" s="55"/>
      <c r="E882" s="56"/>
      <c r="F882" s="55"/>
      <c r="G882" s="55"/>
      <c r="H882" s="56"/>
      <c r="J882" s="57" t="str">
        <f t="shared" si="1"/>
        <v>SucreMariñoSan Antonio De Irapa</v>
      </c>
      <c r="K882" s="50" t="s">
        <v>270</v>
      </c>
      <c r="L882" s="50" t="s">
        <v>271</v>
      </c>
      <c r="M882" s="50" t="s">
        <v>2185</v>
      </c>
      <c r="N882" s="50" t="s">
        <v>526</v>
      </c>
      <c r="O882" s="50" t="s">
        <v>2192</v>
      </c>
      <c r="P882" s="50" t="s">
        <v>2193</v>
      </c>
    </row>
    <row r="883" ht="13.5" customHeight="1">
      <c r="B883" s="54"/>
      <c r="C883" s="38"/>
      <c r="D883" s="55"/>
      <c r="E883" s="56"/>
      <c r="F883" s="55"/>
      <c r="G883" s="55"/>
      <c r="H883" s="56"/>
      <c r="J883" s="57" t="str">
        <f t="shared" si="1"/>
        <v>SucreMariñoSoro</v>
      </c>
      <c r="K883" s="50" t="s">
        <v>270</v>
      </c>
      <c r="L883" s="50" t="s">
        <v>271</v>
      </c>
      <c r="M883" s="50" t="s">
        <v>2185</v>
      </c>
      <c r="N883" s="50" t="s">
        <v>526</v>
      </c>
      <c r="O883" s="50" t="s">
        <v>2194</v>
      </c>
      <c r="P883" s="50" t="s">
        <v>2195</v>
      </c>
    </row>
    <row r="884" ht="13.5" customHeight="1">
      <c r="B884" s="54"/>
      <c r="C884" s="38"/>
      <c r="D884" s="55"/>
      <c r="E884" s="56"/>
      <c r="F884" s="55"/>
      <c r="G884" s="55"/>
      <c r="H884" s="56"/>
      <c r="J884" s="57" t="str">
        <f t="shared" si="1"/>
        <v>SucreMejíaCapital Mejía</v>
      </c>
      <c r="K884" s="50" t="s">
        <v>270</v>
      </c>
      <c r="L884" s="50" t="s">
        <v>271</v>
      </c>
      <c r="M884" s="50" t="s">
        <v>2196</v>
      </c>
      <c r="N884" s="50" t="s">
        <v>2197</v>
      </c>
      <c r="O884" s="50" t="s">
        <v>2198</v>
      </c>
      <c r="P884" s="50" t="s">
        <v>2199</v>
      </c>
    </row>
    <row r="885" ht="13.5" customHeight="1">
      <c r="B885" s="54"/>
      <c r="C885" s="38"/>
      <c r="D885" s="55"/>
      <c r="E885" s="56"/>
      <c r="F885" s="55"/>
      <c r="G885" s="55"/>
      <c r="H885" s="56"/>
      <c r="J885" s="57" t="str">
        <f t="shared" si="1"/>
        <v>SucreMontesCumanacoa</v>
      </c>
      <c r="K885" s="50" t="s">
        <v>270</v>
      </c>
      <c r="L885" s="50" t="s">
        <v>271</v>
      </c>
      <c r="M885" s="50" t="s">
        <v>2200</v>
      </c>
      <c r="N885" s="50" t="s">
        <v>559</v>
      </c>
      <c r="O885" s="50" t="s">
        <v>2201</v>
      </c>
      <c r="P885" s="50" t="s">
        <v>2202</v>
      </c>
    </row>
    <row r="886" ht="13.5" customHeight="1">
      <c r="B886" s="54"/>
      <c r="C886" s="38"/>
      <c r="D886" s="55"/>
      <c r="E886" s="56"/>
      <c r="F886" s="55"/>
      <c r="G886" s="55"/>
      <c r="H886" s="56"/>
      <c r="J886" s="57" t="str">
        <f t="shared" si="1"/>
        <v>SucreMontesArenas</v>
      </c>
      <c r="K886" s="50" t="s">
        <v>270</v>
      </c>
      <c r="L886" s="50" t="s">
        <v>271</v>
      </c>
      <c r="M886" s="50" t="s">
        <v>2200</v>
      </c>
      <c r="N886" s="50" t="s">
        <v>559</v>
      </c>
      <c r="O886" s="50" t="s">
        <v>2203</v>
      </c>
      <c r="P886" s="50" t="s">
        <v>2204</v>
      </c>
    </row>
    <row r="887" ht="13.5" customHeight="1">
      <c r="B887" s="54"/>
      <c r="C887" s="38"/>
      <c r="D887" s="55"/>
      <c r="E887" s="56"/>
      <c r="F887" s="55"/>
      <c r="G887" s="55"/>
      <c r="H887" s="56"/>
      <c r="J887" s="57" t="str">
        <f t="shared" si="1"/>
        <v>SucreMontesAricagua</v>
      </c>
      <c r="K887" s="50" t="s">
        <v>270</v>
      </c>
      <c r="L887" s="50" t="s">
        <v>271</v>
      </c>
      <c r="M887" s="50" t="s">
        <v>2200</v>
      </c>
      <c r="N887" s="50" t="s">
        <v>559</v>
      </c>
      <c r="O887" s="50" t="s">
        <v>2205</v>
      </c>
      <c r="P887" s="50" t="s">
        <v>1588</v>
      </c>
    </row>
    <row r="888" ht="13.5" customHeight="1">
      <c r="B888" s="54"/>
      <c r="C888" s="38"/>
      <c r="D888" s="55"/>
      <c r="E888" s="56"/>
      <c r="F888" s="55"/>
      <c r="G888" s="55"/>
      <c r="H888" s="56"/>
      <c r="J888" s="57" t="str">
        <f t="shared" si="1"/>
        <v>SucreMontesCocollar</v>
      </c>
      <c r="K888" s="50" t="s">
        <v>270</v>
      </c>
      <c r="L888" s="50" t="s">
        <v>271</v>
      </c>
      <c r="M888" s="50" t="s">
        <v>2200</v>
      </c>
      <c r="N888" s="50" t="s">
        <v>559</v>
      </c>
      <c r="O888" s="50" t="s">
        <v>2206</v>
      </c>
      <c r="P888" s="50" t="s">
        <v>2207</v>
      </c>
    </row>
    <row r="889" ht="13.5" customHeight="1">
      <c r="B889" s="54"/>
      <c r="C889" s="38"/>
      <c r="D889" s="55"/>
      <c r="E889" s="56"/>
      <c r="F889" s="55"/>
      <c r="G889" s="55"/>
      <c r="H889" s="56"/>
      <c r="J889" s="57" t="str">
        <f t="shared" si="1"/>
        <v>SucreMontesSan Fernando</v>
      </c>
      <c r="K889" s="50" t="s">
        <v>270</v>
      </c>
      <c r="L889" s="50" t="s">
        <v>271</v>
      </c>
      <c r="M889" s="50" t="s">
        <v>2200</v>
      </c>
      <c r="N889" s="50" t="s">
        <v>559</v>
      </c>
      <c r="O889" s="50" t="s">
        <v>2208</v>
      </c>
      <c r="P889" s="50" t="s">
        <v>381</v>
      </c>
    </row>
    <row r="890" ht="13.5" customHeight="1">
      <c r="B890" s="54"/>
      <c r="C890" s="38"/>
      <c r="D890" s="55"/>
      <c r="E890" s="56"/>
      <c r="F890" s="55"/>
      <c r="G890" s="55"/>
      <c r="H890" s="56"/>
      <c r="J890" s="57" t="str">
        <f t="shared" si="1"/>
        <v>SucreMontesSan Lorenzo</v>
      </c>
      <c r="K890" s="50" t="s">
        <v>270</v>
      </c>
      <c r="L890" s="50" t="s">
        <v>271</v>
      </c>
      <c r="M890" s="50" t="s">
        <v>2200</v>
      </c>
      <c r="N890" s="50" t="s">
        <v>559</v>
      </c>
      <c r="O890" s="50" t="s">
        <v>2209</v>
      </c>
      <c r="P890" s="50" t="s">
        <v>2210</v>
      </c>
    </row>
    <row r="891" ht="13.5" customHeight="1">
      <c r="B891" s="54"/>
      <c r="C891" s="38"/>
      <c r="D891" s="55"/>
      <c r="E891" s="56"/>
      <c r="F891" s="55"/>
      <c r="G891" s="55"/>
      <c r="H891" s="56"/>
      <c r="J891" s="57" t="str">
        <f t="shared" si="1"/>
        <v>SucreRiberoCariaco</v>
      </c>
      <c r="K891" s="50" t="s">
        <v>270</v>
      </c>
      <c r="L891" s="50" t="s">
        <v>271</v>
      </c>
      <c r="M891" s="50" t="s">
        <v>2211</v>
      </c>
      <c r="N891" s="50" t="s">
        <v>564</v>
      </c>
      <c r="O891" s="50" t="s">
        <v>2212</v>
      </c>
      <c r="P891" s="50" t="s">
        <v>2213</v>
      </c>
    </row>
    <row r="892" ht="13.5" customHeight="1">
      <c r="B892" s="54"/>
      <c r="C892" s="38"/>
      <c r="D892" s="55"/>
      <c r="E892" s="56"/>
      <c r="F892" s="55"/>
      <c r="G892" s="55"/>
      <c r="H892" s="56"/>
      <c r="J892" s="57" t="str">
        <f t="shared" si="1"/>
        <v>SucreRiberoCatuaro</v>
      </c>
      <c r="K892" s="50" t="s">
        <v>270</v>
      </c>
      <c r="L892" s="50" t="s">
        <v>271</v>
      </c>
      <c r="M892" s="50" t="s">
        <v>2211</v>
      </c>
      <c r="N892" s="50" t="s">
        <v>564</v>
      </c>
      <c r="O892" s="50" t="s">
        <v>2214</v>
      </c>
      <c r="P892" s="50" t="s">
        <v>2215</v>
      </c>
    </row>
    <row r="893" ht="13.5" customHeight="1">
      <c r="B893" s="54"/>
      <c r="C893" s="38"/>
      <c r="D893" s="55"/>
      <c r="E893" s="56"/>
      <c r="F893" s="55"/>
      <c r="G893" s="55"/>
      <c r="H893" s="56"/>
      <c r="J893" s="57" t="str">
        <f t="shared" si="1"/>
        <v>SucreRiberoRendón</v>
      </c>
      <c r="K893" s="50" t="s">
        <v>270</v>
      </c>
      <c r="L893" s="50" t="s">
        <v>271</v>
      </c>
      <c r="M893" s="50" t="s">
        <v>2211</v>
      </c>
      <c r="N893" s="50" t="s">
        <v>564</v>
      </c>
      <c r="O893" s="50" t="s">
        <v>2216</v>
      </c>
      <c r="P893" s="50" t="s">
        <v>2217</v>
      </c>
    </row>
    <row r="894" ht="13.5" customHeight="1">
      <c r="B894" s="54"/>
      <c r="C894" s="38"/>
      <c r="D894" s="55"/>
      <c r="E894" s="56"/>
      <c r="F894" s="55"/>
      <c r="G894" s="55"/>
      <c r="H894" s="56"/>
      <c r="J894" s="57" t="str">
        <f t="shared" si="1"/>
        <v>SucreRiberoSanta Cruz</v>
      </c>
      <c r="K894" s="50" t="s">
        <v>270</v>
      </c>
      <c r="L894" s="50" t="s">
        <v>271</v>
      </c>
      <c r="M894" s="50" t="s">
        <v>2211</v>
      </c>
      <c r="N894" s="50" t="s">
        <v>564</v>
      </c>
      <c r="O894" s="50" t="s">
        <v>2218</v>
      </c>
      <c r="P894" s="50" t="s">
        <v>1947</v>
      </c>
    </row>
    <row r="895" ht="13.5" customHeight="1">
      <c r="B895" s="54"/>
      <c r="C895" s="38"/>
      <c r="D895" s="55"/>
      <c r="E895" s="56"/>
      <c r="F895" s="55"/>
      <c r="G895" s="55"/>
      <c r="H895" s="56"/>
      <c r="J895" s="57" t="str">
        <f t="shared" si="1"/>
        <v>SucreRiberoSanta María</v>
      </c>
      <c r="K895" s="50" t="s">
        <v>270</v>
      </c>
      <c r="L895" s="50" t="s">
        <v>271</v>
      </c>
      <c r="M895" s="50" t="s">
        <v>2211</v>
      </c>
      <c r="N895" s="50" t="s">
        <v>564</v>
      </c>
      <c r="O895" s="50" t="s">
        <v>2219</v>
      </c>
      <c r="P895" s="50" t="s">
        <v>2220</v>
      </c>
    </row>
    <row r="896" ht="13.5" customHeight="1">
      <c r="B896" s="54"/>
      <c r="C896" s="38"/>
      <c r="D896" s="55"/>
      <c r="E896" s="56"/>
      <c r="F896" s="55"/>
      <c r="G896" s="55"/>
      <c r="H896" s="56"/>
      <c r="J896" s="57" t="str">
        <f t="shared" si="1"/>
        <v>SucreSucreAltagracia</v>
      </c>
      <c r="K896" s="50" t="s">
        <v>270</v>
      </c>
      <c r="L896" s="50" t="s">
        <v>271</v>
      </c>
      <c r="M896" s="50" t="s">
        <v>2221</v>
      </c>
      <c r="N896" s="50" t="s">
        <v>271</v>
      </c>
      <c r="O896" s="50" t="s">
        <v>2222</v>
      </c>
      <c r="P896" s="50" t="s">
        <v>36</v>
      </c>
    </row>
    <row r="897" ht="13.5" customHeight="1">
      <c r="B897" s="54"/>
      <c r="C897" s="38"/>
      <c r="D897" s="55"/>
      <c r="E897" s="56"/>
      <c r="F897" s="55"/>
      <c r="G897" s="55"/>
      <c r="H897" s="56"/>
      <c r="J897" s="57" t="str">
        <f t="shared" si="1"/>
        <v>SucreSucreAyacucho</v>
      </c>
      <c r="K897" s="50" t="s">
        <v>270</v>
      </c>
      <c r="L897" s="50" t="s">
        <v>271</v>
      </c>
      <c r="M897" s="50" t="s">
        <v>2221</v>
      </c>
      <c r="N897" s="50" t="s">
        <v>271</v>
      </c>
      <c r="O897" s="50" t="s">
        <v>2223</v>
      </c>
      <c r="P897" s="50" t="s">
        <v>2224</v>
      </c>
    </row>
    <row r="898" ht="13.5" customHeight="1">
      <c r="B898" s="54"/>
      <c r="C898" s="38"/>
      <c r="D898" s="55"/>
      <c r="E898" s="56"/>
      <c r="F898" s="55"/>
      <c r="G898" s="55"/>
      <c r="H898" s="56"/>
      <c r="J898" s="57" t="str">
        <f t="shared" si="1"/>
        <v>SucreSucreSanta Inés</v>
      </c>
      <c r="K898" s="50" t="s">
        <v>270</v>
      </c>
      <c r="L898" s="50" t="s">
        <v>271</v>
      </c>
      <c r="M898" s="50" t="s">
        <v>2221</v>
      </c>
      <c r="N898" s="50" t="s">
        <v>271</v>
      </c>
      <c r="O898" s="50" t="s">
        <v>2225</v>
      </c>
      <c r="P898" s="50" t="s">
        <v>621</v>
      </c>
    </row>
    <row r="899" ht="13.5" customHeight="1">
      <c r="B899" s="54"/>
      <c r="C899" s="38"/>
      <c r="D899" s="55"/>
      <c r="E899" s="56"/>
      <c r="F899" s="55"/>
      <c r="G899" s="55"/>
      <c r="H899" s="56"/>
      <c r="J899" s="57" t="str">
        <f t="shared" si="1"/>
        <v>SucreSucreValentín Valiente</v>
      </c>
      <c r="K899" s="50" t="s">
        <v>270</v>
      </c>
      <c r="L899" s="50" t="s">
        <v>271</v>
      </c>
      <c r="M899" s="50" t="s">
        <v>2221</v>
      </c>
      <c r="N899" s="50" t="s">
        <v>271</v>
      </c>
      <c r="O899" s="50" t="s">
        <v>2226</v>
      </c>
      <c r="P899" s="50" t="s">
        <v>2227</v>
      </c>
    </row>
    <row r="900" ht="13.5" customHeight="1">
      <c r="B900" s="54"/>
      <c r="C900" s="38"/>
      <c r="D900" s="55"/>
      <c r="E900" s="56"/>
      <c r="F900" s="55"/>
      <c r="G900" s="55"/>
      <c r="H900" s="56"/>
      <c r="J900" s="57" t="str">
        <f t="shared" si="1"/>
        <v>SucreSucreSan Juan</v>
      </c>
      <c r="K900" s="50" t="s">
        <v>270</v>
      </c>
      <c r="L900" s="50" t="s">
        <v>271</v>
      </c>
      <c r="M900" s="50" t="s">
        <v>2221</v>
      </c>
      <c r="N900" s="50" t="s">
        <v>271</v>
      </c>
      <c r="O900" s="50" t="s">
        <v>2228</v>
      </c>
      <c r="P900" s="50" t="s">
        <v>257</v>
      </c>
    </row>
    <row r="901" ht="13.5" customHeight="1">
      <c r="B901" s="54"/>
      <c r="C901" s="38"/>
      <c r="D901" s="55"/>
      <c r="E901" s="56"/>
      <c r="F901" s="55"/>
      <c r="G901" s="55"/>
      <c r="H901" s="56"/>
      <c r="J901" s="57" t="str">
        <f t="shared" si="1"/>
        <v>SucreSucreRaúl Leoni Los Puertos De Santa Fé</v>
      </c>
      <c r="K901" s="50" t="s">
        <v>270</v>
      </c>
      <c r="L901" s="50" t="s">
        <v>271</v>
      </c>
      <c r="M901" s="50" t="s">
        <v>2221</v>
      </c>
      <c r="N901" s="50" t="s">
        <v>271</v>
      </c>
      <c r="O901" s="50" t="s">
        <v>2229</v>
      </c>
      <c r="P901" s="50" t="s">
        <v>2230</v>
      </c>
    </row>
    <row r="902" ht="13.5" customHeight="1">
      <c r="B902" s="54"/>
      <c r="C902" s="38"/>
      <c r="D902" s="55"/>
      <c r="E902" s="56"/>
      <c r="F902" s="55"/>
      <c r="G902" s="55"/>
      <c r="H902" s="56"/>
      <c r="J902" s="57" t="str">
        <f t="shared" si="1"/>
        <v>SucreSucreGran Mariscal Los Altos De Sucre</v>
      </c>
      <c r="K902" s="50" t="s">
        <v>270</v>
      </c>
      <c r="L902" s="50" t="s">
        <v>271</v>
      </c>
      <c r="M902" s="50" t="s">
        <v>2221</v>
      </c>
      <c r="N902" s="50" t="s">
        <v>271</v>
      </c>
      <c r="O902" s="50" t="s">
        <v>2231</v>
      </c>
      <c r="P902" s="50" t="s">
        <v>2232</v>
      </c>
    </row>
    <row r="903" ht="13.5" customHeight="1">
      <c r="B903" s="54"/>
      <c r="C903" s="38"/>
      <c r="D903" s="55"/>
      <c r="E903" s="56"/>
      <c r="F903" s="55"/>
      <c r="G903" s="55"/>
      <c r="H903" s="56"/>
      <c r="J903" s="57" t="str">
        <f t="shared" si="1"/>
        <v>SucreValdezGuiria</v>
      </c>
      <c r="K903" s="50" t="s">
        <v>270</v>
      </c>
      <c r="L903" s="50" t="s">
        <v>271</v>
      </c>
      <c r="M903" s="50" t="s">
        <v>2233</v>
      </c>
      <c r="N903" s="50" t="s">
        <v>572</v>
      </c>
      <c r="O903" s="50" t="s">
        <v>2234</v>
      </c>
      <c r="P903" s="50" t="s">
        <v>2235</v>
      </c>
    </row>
    <row r="904" ht="13.5" customHeight="1">
      <c r="B904" s="54"/>
      <c r="C904" s="38"/>
      <c r="D904" s="55"/>
      <c r="E904" s="56"/>
      <c r="F904" s="55"/>
      <c r="G904" s="55"/>
      <c r="H904" s="56"/>
      <c r="J904" s="57" t="str">
        <f t="shared" si="1"/>
        <v>SucreValdezBideau</v>
      </c>
      <c r="K904" s="50" t="s">
        <v>270</v>
      </c>
      <c r="L904" s="50" t="s">
        <v>271</v>
      </c>
      <c r="M904" s="50" t="s">
        <v>2233</v>
      </c>
      <c r="N904" s="50" t="s">
        <v>572</v>
      </c>
      <c r="O904" s="50" t="s">
        <v>2236</v>
      </c>
      <c r="P904" s="50" t="s">
        <v>2237</v>
      </c>
    </row>
    <row r="905" ht="13.5" customHeight="1">
      <c r="B905" s="54"/>
      <c r="C905" s="38"/>
      <c r="D905" s="55"/>
      <c r="E905" s="56"/>
      <c r="F905" s="55"/>
      <c r="G905" s="55"/>
      <c r="H905" s="56"/>
      <c r="J905" s="57" t="str">
        <f t="shared" si="1"/>
        <v>SucreValdezCristóbal Colon</v>
      </c>
      <c r="K905" s="50" t="s">
        <v>270</v>
      </c>
      <c r="L905" s="50" t="s">
        <v>271</v>
      </c>
      <c r="M905" s="50" t="s">
        <v>2233</v>
      </c>
      <c r="N905" s="50" t="s">
        <v>572</v>
      </c>
      <c r="O905" s="50" t="s">
        <v>2238</v>
      </c>
      <c r="P905" s="50" t="s">
        <v>2239</v>
      </c>
    </row>
    <row r="906" ht="13.5" customHeight="1">
      <c r="B906" s="54"/>
      <c r="C906" s="38"/>
      <c r="D906" s="55"/>
      <c r="E906" s="56"/>
      <c r="F906" s="55"/>
      <c r="G906" s="55"/>
      <c r="H906" s="56"/>
      <c r="J906" s="57" t="str">
        <f t="shared" si="1"/>
        <v>SucreValdezPunta De Piedras</v>
      </c>
      <c r="K906" s="50" t="s">
        <v>270</v>
      </c>
      <c r="L906" s="50" t="s">
        <v>271</v>
      </c>
      <c r="M906" s="50" t="s">
        <v>2233</v>
      </c>
      <c r="N906" s="50" t="s">
        <v>572</v>
      </c>
      <c r="O906" s="50" t="s">
        <v>2240</v>
      </c>
      <c r="P906" s="50" t="s">
        <v>2241</v>
      </c>
    </row>
    <row r="907" ht="13.5" customHeight="1">
      <c r="B907" s="54"/>
      <c r="C907" s="38"/>
      <c r="D907" s="55"/>
      <c r="E907" s="56"/>
      <c r="F907" s="55"/>
      <c r="G907" s="55"/>
      <c r="H907" s="56"/>
      <c r="J907" s="57" t="str">
        <f t="shared" si="1"/>
        <v>TáchiraAndrés BelloCapital Andrés Bello</v>
      </c>
      <c r="K907" s="50" t="s">
        <v>279</v>
      </c>
      <c r="L907" s="50" t="s">
        <v>280</v>
      </c>
      <c r="M907" s="50" t="s">
        <v>2242</v>
      </c>
      <c r="N907" s="50" t="s">
        <v>464</v>
      </c>
      <c r="O907" s="50" t="s">
        <v>2243</v>
      </c>
      <c r="P907" s="50" t="s">
        <v>2244</v>
      </c>
    </row>
    <row r="908" ht="13.5" customHeight="1">
      <c r="B908" s="54"/>
      <c r="C908" s="38"/>
      <c r="D908" s="55"/>
      <c r="E908" s="56"/>
      <c r="F908" s="55"/>
      <c r="G908" s="55"/>
      <c r="H908" s="56"/>
      <c r="J908" s="57" t="str">
        <f t="shared" si="1"/>
        <v>TáchiraAntonio Rómulo CostaAntonio Rómulo Acosta</v>
      </c>
      <c r="K908" s="50" t="s">
        <v>279</v>
      </c>
      <c r="L908" s="50" t="s">
        <v>280</v>
      </c>
      <c r="M908" s="50" t="s">
        <v>2245</v>
      </c>
      <c r="N908" s="50" t="s">
        <v>2246</v>
      </c>
      <c r="O908" s="50" t="s">
        <v>2247</v>
      </c>
      <c r="P908" s="50" t="s">
        <v>2248</v>
      </c>
    </row>
    <row r="909" ht="13.5" customHeight="1">
      <c r="B909" s="54"/>
      <c r="C909" s="38"/>
      <c r="D909" s="55"/>
      <c r="E909" s="56"/>
      <c r="F909" s="55"/>
      <c r="G909" s="55"/>
      <c r="H909" s="56"/>
      <c r="J909" s="57" t="str">
        <f t="shared" si="1"/>
        <v>TáchiraAyacuchoAyacucho</v>
      </c>
      <c r="K909" s="50" t="s">
        <v>279</v>
      </c>
      <c r="L909" s="50" t="s">
        <v>280</v>
      </c>
      <c r="M909" s="50" t="s">
        <v>2249</v>
      </c>
      <c r="N909" s="50" t="s">
        <v>2224</v>
      </c>
      <c r="O909" s="50" t="s">
        <v>2250</v>
      </c>
      <c r="P909" s="50" t="s">
        <v>2224</v>
      </c>
    </row>
    <row r="910" ht="13.5" customHeight="1">
      <c r="B910" s="54"/>
      <c r="C910" s="38"/>
      <c r="D910" s="55"/>
      <c r="E910" s="56"/>
      <c r="F910" s="55"/>
      <c r="G910" s="55"/>
      <c r="H910" s="56"/>
      <c r="J910" s="57" t="str">
        <f t="shared" si="1"/>
        <v>TáchiraAyacuchoRivas Berti</v>
      </c>
      <c r="K910" s="50" t="s">
        <v>279</v>
      </c>
      <c r="L910" s="50" t="s">
        <v>280</v>
      </c>
      <c r="M910" s="50" t="s">
        <v>2249</v>
      </c>
      <c r="N910" s="50" t="s">
        <v>2224</v>
      </c>
      <c r="O910" s="50" t="s">
        <v>2251</v>
      </c>
      <c r="P910" s="50" t="s">
        <v>2252</v>
      </c>
    </row>
    <row r="911" ht="13.5" customHeight="1">
      <c r="B911" s="54"/>
      <c r="C911" s="38"/>
      <c r="D911" s="55"/>
      <c r="E911" s="56"/>
      <c r="F911" s="55"/>
      <c r="G911" s="55"/>
      <c r="H911" s="56"/>
      <c r="J911" s="57" t="str">
        <f t="shared" si="1"/>
        <v>TáchiraAyacuchoSan Pedro Del Rio</v>
      </c>
      <c r="K911" s="50" t="s">
        <v>279</v>
      </c>
      <c r="L911" s="50" t="s">
        <v>280</v>
      </c>
      <c r="M911" s="50" t="s">
        <v>2249</v>
      </c>
      <c r="N911" s="50" t="s">
        <v>2224</v>
      </c>
      <c r="O911" s="50" t="s">
        <v>2253</v>
      </c>
      <c r="P911" s="50" t="s">
        <v>2254</v>
      </c>
    </row>
    <row r="912" ht="13.5" customHeight="1">
      <c r="B912" s="54"/>
      <c r="C912" s="38"/>
      <c r="D912" s="55"/>
      <c r="E912" s="56"/>
      <c r="F912" s="55"/>
      <c r="G912" s="55"/>
      <c r="H912" s="56"/>
      <c r="J912" s="57" t="str">
        <f t="shared" si="1"/>
        <v>TáchiraBolívarBolívar</v>
      </c>
      <c r="K912" s="50" t="s">
        <v>279</v>
      </c>
      <c r="L912" s="50" t="s">
        <v>280</v>
      </c>
      <c r="M912" s="50" t="s">
        <v>2255</v>
      </c>
      <c r="N912" s="50" t="s">
        <v>129</v>
      </c>
      <c r="O912" s="50" t="s">
        <v>2256</v>
      </c>
      <c r="P912" s="50" t="s">
        <v>129</v>
      </c>
    </row>
    <row r="913" ht="13.5" customHeight="1">
      <c r="B913" s="54"/>
      <c r="C913" s="38"/>
      <c r="D913" s="55"/>
      <c r="E913" s="56"/>
      <c r="F913" s="55"/>
      <c r="G913" s="55"/>
      <c r="H913" s="56"/>
      <c r="J913" s="57" t="str">
        <f t="shared" si="1"/>
        <v>TáchiraBolívarPalotal</v>
      </c>
      <c r="K913" s="50" t="s">
        <v>279</v>
      </c>
      <c r="L913" s="50" t="s">
        <v>280</v>
      </c>
      <c r="M913" s="50" t="s">
        <v>2255</v>
      </c>
      <c r="N913" s="50" t="s">
        <v>129</v>
      </c>
      <c r="O913" s="50" t="s">
        <v>2257</v>
      </c>
      <c r="P913" s="50" t="s">
        <v>2258</v>
      </c>
    </row>
    <row r="914" ht="13.5" customHeight="1">
      <c r="B914" s="54"/>
      <c r="C914" s="38"/>
      <c r="D914" s="55"/>
      <c r="E914" s="56"/>
      <c r="F914" s="55"/>
      <c r="G914" s="55"/>
      <c r="H914" s="56"/>
      <c r="J914" s="57" t="str">
        <f t="shared" si="1"/>
        <v>TáchiraBolívarJuan Vicente Gómez</v>
      </c>
      <c r="K914" s="50" t="s">
        <v>279</v>
      </c>
      <c r="L914" s="50" t="s">
        <v>280</v>
      </c>
      <c r="M914" s="50" t="s">
        <v>2255</v>
      </c>
      <c r="N914" s="50" t="s">
        <v>129</v>
      </c>
      <c r="O914" s="50" t="s">
        <v>2259</v>
      </c>
      <c r="P914" s="50" t="s">
        <v>2260</v>
      </c>
    </row>
    <row r="915" ht="13.5" customHeight="1">
      <c r="B915" s="54"/>
      <c r="C915" s="38"/>
      <c r="D915" s="55"/>
      <c r="E915" s="56"/>
      <c r="F915" s="55"/>
      <c r="G915" s="55"/>
      <c r="H915" s="56"/>
      <c r="J915" s="57" t="str">
        <f t="shared" si="1"/>
        <v>TáchiraBolívarIsaías Medina Angarita</v>
      </c>
      <c r="K915" s="50" t="s">
        <v>279</v>
      </c>
      <c r="L915" s="50" t="s">
        <v>280</v>
      </c>
      <c r="M915" s="50" t="s">
        <v>2255</v>
      </c>
      <c r="N915" s="50" t="s">
        <v>129</v>
      </c>
      <c r="O915" s="50" t="s">
        <v>2261</v>
      </c>
      <c r="P915" s="50" t="s">
        <v>2262</v>
      </c>
    </row>
    <row r="916" ht="13.5" customHeight="1">
      <c r="B916" s="54"/>
      <c r="C916" s="38"/>
      <c r="D916" s="55"/>
      <c r="E916" s="56"/>
      <c r="F916" s="55"/>
      <c r="G916" s="55"/>
      <c r="H916" s="56"/>
      <c r="J916" s="57" t="str">
        <f t="shared" si="1"/>
        <v>TáchiraCárdenasCárdenas</v>
      </c>
      <c r="K916" s="50" t="s">
        <v>279</v>
      </c>
      <c r="L916" s="50" t="s">
        <v>280</v>
      </c>
      <c r="M916" s="50" t="s">
        <v>2263</v>
      </c>
      <c r="N916" s="50" t="s">
        <v>2264</v>
      </c>
      <c r="O916" s="50" t="s">
        <v>2265</v>
      </c>
      <c r="P916" s="50" t="s">
        <v>2264</v>
      </c>
    </row>
    <row r="917" ht="13.5" customHeight="1">
      <c r="B917" s="54"/>
      <c r="C917" s="38"/>
      <c r="D917" s="55"/>
      <c r="E917" s="56"/>
      <c r="F917" s="55"/>
      <c r="G917" s="55"/>
      <c r="H917" s="56"/>
      <c r="J917" s="57" t="str">
        <f t="shared" si="1"/>
        <v>TáchiraCárdenasAmenodoro Rangel Lamus</v>
      </c>
      <c r="K917" s="50" t="s">
        <v>279</v>
      </c>
      <c r="L917" s="50" t="s">
        <v>280</v>
      </c>
      <c r="M917" s="50" t="s">
        <v>2263</v>
      </c>
      <c r="N917" s="50" t="s">
        <v>2264</v>
      </c>
      <c r="O917" s="50" t="s">
        <v>2266</v>
      </c>
      <c r="P917" s="50" t="s">
        <v>2267</v>
      </c>
    </row>
    <row r="918" ht="13.5" customHeight="1">
      <c r="B918" s="54"/>
      <c r="C918" s="38"/>
      <c r="D918" s="55"/>
      <c r="E918" s="56"/>
      <c r="F918" s="55"/>
      <c r="G918" s="55"/>
      <c r="H918" s="56"/>
      <c r="J918" s="57" t="str">
        <f t="shared" si="1"/>
        <v>TáchiraCárdenasLa Florida</v>
      </c>
      <c r="K918" s="50" t="s">
        <v>279</v>
      </c>
      <c r="L918" s="50" t="s">
        <v>280</v>
      </c>
      <c r="M918" s="50" t="s">
        <v>2263</v>
      </c>
      <c r="N918" s="50" t="s">
        <v>2264</v>
      </c>
      <c r="O918" s="50" t="s">
        <v>2268</v>
      </c>
      <c r="P918" s="50" t="s">
        <v>2269</v>
      </c>
    </row>
    <row r="919" ht="13.5" customHeight="1">
      <c r="B919" s="54"/>
      <c r="C919" s="38"/>
      <c r="D919" s="55"/>
      <c r="E919" s="56"/>
      <c r="F919" s="55"/>
      <c r="G919" s="55"/>
      <c r="H919" s="56"/>
      <c r="J919" s="57" t="str">
        <f t="shared" si="1"/>
        <v>TáchiraCórdobaCapital Córdoba</v>
      </c>
      <c r="K919" s="50" t="s">
        <v>279</v>
      </c>
      <c r="L919" s="50" t="s">
        <v>280</v>
      </c>
      <c r="M919" s="50" t="s">
        <v>2270</v>
      </c>
      <c r="N919" s="50" t="s">
        <v>2054</v>
      </c>
      <c r="O919" s="50" t="s">
        <v>2271</v>
      </c>
      <c r="P919" s="50" t="s">
        <v>2272</v>
      </c>
    </row>
    <row r="920" ht="13.5" customHeight="1">
      <c r="B920" s="54"/>
      <c r="C920" s="38"/>
      <c r="D920" s="55"/>
      <c r="E920" s="56"/>
      <c r="F920" s="55"/>
      <c r="G920" s="55"/>
      <c r="H920" s="56"/>
      <c r="J920" s="57" t="str">
        <f t="shared" si="1"/>
        <v>TáchiraFernández FeoFernández Feo</v>
      </c>
      <c r="K920" s="50" t="s">
        <v>279</v>
      </c>
      <c r="L920" s="50" t="s">
        <v>280</v>
      </c>
      <c r="M920" s="50" t="s">
        <v>2273</v>
      </c>
      <c r="N920" s="50" t="s">
        <v>2274</v>
      </c>
      <c r="O920" s="50" t="s">
        <v>2275</v>
      </c>
      <c r="P920" s="50" t="s">
        <v>2274</v>
      </c>
    </row>
    <row r="921" ht="13.5" customHeight="1">
      <c r="B921" s="54"/>
      <c r="C921" s="38"/>
      <c r="D921" s="55"/>
      <c r="E921" s="56"/>
      <c r="F921" s="55"/>
      <c r="G921" s="55"/>
      <c r="H921" s="56"/>
      <c r="J921" s="57" t="str">
        <f t="shared" si="1"/>
        <v>TáchiraFernández FeoAlberto Adriani</v>
      </c>
      <c r="K921" s="50" t="s">
        <v>279</v>
      </c>
      <c r="L921" s="50" t="s">
        <v>280</v>
      </c>
      <c r="M921" s="50" t="s">
        <v>2273</v>
      </c>
      <c r="N921" s="50" t="s">
        <v>2274</v>
      </c>
      <c r="O921" s="50" t="s">
        <v>2276</v>
      </c>
      <c r="P921" s="50" t="s">
        <v>1562</v>
      </c>
    </row>
    <row r="922" ht="13.5" customHeight="1">
      <c r="B922" s="54"/>
      <c r="C922" s="38"/>
      <c r="D922" s="55"/>
      <c r="E922" s="56"/>
      <c r="F922" s="55"/>
      <c r="G922" s="55"/>
      <c r="H922" s="56"/>
      <c r="J922" s="57" t="str">
        <f t="shared" si="1"/>
        <v>TáchiraFernández FeoSanto Domingo</v>
      </c>
      <c r="K922" s="50" t="s">
        <v>279</v>
      </c>
      <c r="L922" s="50" t="s">
        <v>280</v>
      </c>
      <c r="M922" s="50" t="s">
        <v>2273</v>
      </c>
      <c r="N922" s="50" t="s">
        <v>2274</v>
      </c>
      <c r="O922" s="50" t="s">
        <v>2277</v>
      </c>
      <c r="P922" s="50" t="s">
        <v>2278</v>
      </c>
    </row>
    <row r="923" ht="13.5" customHeight="1">
      <c r="B923" s="54"/>
      <c r="C923" s="38"/>
      <c r="D923" s="55"/>
      <c r="E923" s="56"/>
      <c r="F923" s="55"/>
      <c r="G923" s="55"/>
      <c r="H923" s="56"/>
      <c r="J923" s="57" t="str">
        <f t="shared" si="1"/>
        <v>TáchiraFrancisco De MirandaSan José De Bolívar</v>
      </c>
      <c r="K923" s="50" t="s">
        <v>279</v>
      </c>
      <c r="L923" s="50" t="s">
        <v>280</v>
      </c>
      <c r="M923" s="50" t="s">
        <v>2279</v>
      </c>
      <c r="N923" s="50" t="s">
        <v>211</v>
      </c>
      <c r="O923" s="50" t="s">
        <v>2280</v>
      </c>
      <c r="P923" s="50" t="s">
        <v>2281</v>
      </c>
    </row>
    <row r="924" ht="13.5" customHeight="1">
      <c r="B924" s="54"/>
      <c r="C924" s="38"/>
      <c r="D924" s="55"/>
      <c r="E924" s="56"/>
      <c r="F924" s="55"/>
      <c r="G924" s="55"/>
      <c r="H924" s="56"/>
      <c r="J924" s="57" t="str">
        <f t="shared" si="1"/>
        <v>TáchiraGarcía De HeviaGarcía De Hevia</v>
      </c>
      <c r="K924" s="50" t="s">
        <v>279</v>
      </c>
      <c r="L924" s="50" t="s">
        <v>280</v>
      </c>
      <c r="M924" s="50" t="s">
        <v>2282</v>
      </c>
      <c r="N924" s="50" t="s">
        <v>2283</v>
      </c>
      <c r="O924" s="50" t="s">
        <v>2284</v>
      </c>
      <c r="P924" s="50" t="s">
        <v>2283</v>
      </c>
    </row>
    <row r="925" ht="13.5" customHeight="1">
      <c r="B925" s="54"/>
      <c r="C925" s="38"/>
      <c r="D925" s="55"/>
      <c r="E925" s="56"/>
      <c r="F925" s="55"/>
      <c r="G925" s="55"/>
      <c r="H925" s="56"/>
      <c r="J925" s="57" t="str">
        <f t="shared" si="1"/>
        <v>TáchiraGarcía De HeviaBoca De Grita</v>
      </c>
      <c r="K925" s="50" t="s">
        <v>279</v>
      </c>
      <c r="L925" s="50" t="s">
        <v>280</v>
      </c>
      <c r="M925" s="50" t="s">
        <v>2282</v>
      </c>
      <c r="N925" s="50" t="s">
        <v>2283</v>
      </c>
      <c r="O925" s="50" t="s">
        <v>2285</v>
      </c>
      <c r="P925" s="50" t="s">
        <v>2286</v>
      </c>
    </row>
    <row r="926" ht="13.5" customHeight="1">
      <c r="B926" s="54"/>
      <c r="C926" s="38"/>
      <c r="D926" s="55"/>
      <c r="E926" s="56"/>
      <c r="F926" s="55"/>
      <c r="G926" s="55"/>
      <c r="H926" s="56"/>
      <c r="J926" s="57" t="str">
        <f t="shared" si="1"/>
        <v>TáchiraGarcía De HeviaJosé Antonio Páez</v>
      </c>
      <c r="K926" s="50" t="s">
        <v>279</v>
      </c>
      <c r="L926" s="50" t="s">
        <v>280</v>
      </c>
      <c r="M926" s="50" t="s">
        <v>2282</v>
      </c>
      <c r="N926" s="50" t="s">
        <v>2283</v>
      </c>
      <c r="O926" s="50" t="s">
        <v>2287</v>
      </c>
      <c r="P926" s="50" t="s">
        <v>512</v>
      </c>
    </row>
    <row r="927" ht="13.5" customHeight="1">
      <c r="B927" s="54"/>
      <c r="C927" s="38"/>
      <c r="D927" s="55"/>
      <c r="E927" s="56"/>
      <c r="F927" s="55"/>
      <c r="G927" s="55"/>
      <c r="H927" s="56"/>
      <c r="J927" s="57" t="str">
        <f t="shared" si="1"/>
        <v>TáchiraGuásimosCapital Guasimos</v>
      </c>
      <c r="K927" s="50" t="s">
        <v>279</v>
      </c>
      <c r="L927" s="50" t="s">
        <v>280</v>
      </c>
      <c r="M927" s="50" t="s">
        <v>2288</v>
      </c>
      <c r="N927" s="50" t="s">
        <v>2289</v>
      </c>
      <c r="O927" s="50" t="s">
        <v>2290</v>
      </c>
      <c r="P927" s="50" t="s">
        <v>2291</v>
      </c>
    </row>
    <row r="928" ht="13.5" customHeight="1">
      <c r="B928" s="54"/>
      <c r="C928" s="38"/>
      <c r="D928" s="55"/>
      <c r="E928" s="56"/>
      <c r="F928" s="55"/>
      <c r="G928" s="55"/>
      <c r="H928" s="56"/>
      <c r="J928" s="57" t="str">
        <f t="shared" si="1"/>
        <v>TáchiraIndependenciaIndependencia</v>
      </c>
      <c r="K928" s="50" t="s">
        <v>279</v>
      </c>
      <c r="L928" s="50" t="s">
        <v>280</v>
      </c>
      <c r="M928" s="50" t="s">
        <v>2292</v>
      </c>
      <c r="N928" s="50" t="s">
        <v>234</v>
      </c>
      <c r="O928" s="50" t="s">
        <v>2293</v>
      </c>
      <c r="P928" s="50" t="s">
        <v>234</v>
      </c>
    </row>
    <row r="929" ht="13.5" customHeight="1">
      <c r="B929" s="54"/>
      <c r="C929" s="38"/>
      <c r="D929" s="55"/>
      <c r="E929" s="56"/>
      <c r="F929" s="55"/>
      <c r="G929" s="55"/>
      <c r="H929" s="56"/>
      <c r="J929" s="57" t="str">
        <f t="shared" si="1"/>
        <v>TáchiraIndependenciaJuan Germán Roscio</v>
      </c>
      <c r="K929" s="50" t="s">
        <v>279</v>
      </c>
      <c r="L929" s="50" t="s">
        <v>280</v>
      </c>
      <c r="M929" s="50" t="s">
        <v>2292</v>
      </c>
      <c r="N929" s="50" t="s">
        <v>234</v>
      </c>
      <c r="O929" s="50" t="s">
        <v>2294</v>
      </c>
      <c r="P929" s="50" t="s">
        <v>558</v>
      </c>
    </row>
    <row r="930" ht="13.5" customHeight="1">
      <c r="B930" s="54"/>
      <c r="C930" s="38"/>
      <c r="D930" s="55"/>
      <c r="E930" s="56"/>
      <c r="F930" s="55"/>
      <c r="G930" s="55"/>
      <c r="H930" s="56"/>
      <c r="J930" s="57" t="str">
        <f t="shared" si="1"/>
        <v>TáchiraIndependenciaRomán Cárdenas</v>
      </c>
      <c r="K930" s="50" t="s">
        <v>279</v>
      </c>
      <c r="L930" s="50" t="s">
        <v>280</v>
      </c>
      <c r="M930" s="50" t="s">
        <v>2292</v>
      </c>
      <c r="N930" s="50" t="s">
        <v>234</v>
      </c>
      <c r="O930" s="50" t="s">
        <v>2295</v>
      </c>
      <c r="P930" s="50" t="s">
        <v>2296</v>
      </c>
    </row>
    <row r="931" ht="13.5" customHeight="1">
      <c r="B931" s="54"/>
      <c r="C931" s="38"/>
      <c r="D931" s="55"/>
      <c r="E931" s="56"/>
      <c r="F931" s="55"/>
      <c r="G931" s="55"/>
      <c r="H931" s="56"/>
      <c r="J931" s="57" t="str">
        <f t="shared" si="1"/>
        <v>TáchiraJáureguiJáuregui</v>
      </c>
      <c r="K931" s="50" t="s">
        <v>279</v>
      </c>
      <c r="L931" s="50" t="s">
        <v>280</v>
      </c>
      <c r="M931" s="50" t="s">
        <v>2297</v>
      </c>
      <c r="N931" s="50" t="s">
        <v>2298</v>
      </c>
      <c r="O931" s="50" t="s">
        <v>2299</v>
      </c>
      <c r="P931" s="50" t="s">
        <v>2298</v>
      </c>
    </row>
    <row r="932" ht="13.5" customHeight="1">
      <c r="B932" s="54"/>
      <c r="C932" s="38"/>
      <c r="D932" s="55"/>
      <c r="E932" s="56"/>
      <c r="F932" s="55"/>
      <c r="G932" s="55"/>
      <c r="H932" s="56"/>
      <c r="J932" s="57" t="str">
        <f t="shared" si="1"/>
        <v>TáchiraJáureguiEmilio Constantino Guerrero</v>
      </c>
      <c r="K932" s="50" t="s">
        <v>279</v>
      </c>
      <c r="L932" s="50" t="s">
        <v>280</v>
      </c>
      <c r="M932" s="50" t="s">
        <v>2297</v>
      </c>
      <c r="N932" s="50" t="s">
        <v>2298</v>
      </c>
      <c r="O932" s="50" t="s">
        <v>2300</v>
      </c>
      <c r="P932" s="50" t="s">
        <v>2301</v>
      </c>
    </row>
    <row r="933" ht="13.5" customHeight="1">
      <c r="B933" s="54"/>
      <c r="C933" s="38"/>
      <c r="D933" s="55"/>
      <c r="E933" s="56"/>
      <c r="F933" s="55"/>
      <c r="G933" s="55"/>
      <c r="H933" s="56"/>
      <c r="J933" s="57" t="str">
        <f t="shared" si="1"/>
        <v>TáchiraJáureguiMonseñor Miguel Antonio Salas</v>
      </c>
      <c r="K933" s="50" t="s">
        <v>279</v>
      </c>
      <c r="L933" s="50" t="s">
        <v>280</v>
      </c>
      <c r="M933" s="50" t="s">
        <v>2297</v>
      </c>
      <c r="N933" s="50" t="s">
        <v>2298</v>
      </c>
      <c r="O933" s="50" t="s">
        <v>2302</v>
      </c>
      <c r="P933" s="50" t="s">
        <v>2303</v>
      </c>
    </row>
    <row r="934" ht="13.5" customHeight="1">
      <c r="B934" s="54"/>
      <c r="C934" s="38"/>
      <c r="D934" s="55"/>
      <c r="E934" s="56"/>
      <c r="F934" s="55"/>
      <c r="G934" s="55"/>
      <c r="H934" s="56"/>
      <c r="J934" s="57" t="str">
        <f t="shared" si="1"/>
        <v>TáchiraJosé María VargasVargas</v>
      </c>
      <c r="K934" s="50" t="s">
        <v>279</v>
      </c>
      <c r="L934" s="50" t="s">
        <v>280</v>
      </c>
      <c r="M934" s="50" t="s">
        <v>2304</v>
      </c>
      <c r="N934" s="50" t="s">
        <v>2305</v>
      </c>
      <c r="O934" s="50" t="s">
        <v>2306</v>
      </c>
      <c r="P934" s="50" t="s">
        <v>454</v>
      </c>
    </row>
    <row r="935" ht="13.5" customHeight="1">
      <c r="B935" s="54"/>
      <c r="C935" s="38"/>
      <c r="D935" s="55"/>
      <c r="E935" s="56"/>
      <c r="F935" s="55"/>
      <c r="G935" s="55"/>
      <c r="H935" s="56"/>
      <c r="J935" s="57" t="str">
        <f t="shared" si="1"/>
        <v>TáchiraJunínJunín</v>
      </c>
      <c r="K935" s="50" t="s">
        <v>279</v>
      </c>
      <c r="L935" s="50" t="s">
        <v>280</v>
      </c>
      <c r="M935" s="50" t="s">
        <v>2307</v>
      </c>
      <c r="N935" s="50" t="s">
        <v>2308</v>
      </c>
      <c r="O935" s="50" t="s">
        <v>2309</v>
      </c>
      <c r="P935" s="50" t="s">
        <v>2308</v>
      </c>
    </row>
    <row r="936" ht="13.5" customHeight="1">
      <c r="B936" s="54"/>
      <c r="C936" s="38"/>
      <c r="D936" s="55"/>
      <c r="E936" s="56"/>
      <c r="F936" s="55"/>
      <c r="G936" s="55"/>
      <c r="H936" s="56"/>
      <c r="J936" s="57" t="str">
        <f t="shared" si="1"/>
        <v>TáchiraJunínLa Petrolea</v>
      </c>
      <c r="K936" s="50" t="s">
        <v>279</v>
      </c>
      <c r="L936" s="50" t="s">
        <v>280</v>
      </c>
      <c r="M936" s="50" t="s">
        <v>2307</v>
      </c>
      <c r="N936" s="50" t="s">
        <v>2308</v>
      </c>
      <c r="O936" s="50" t="s">
        <v>2310</v>
      </c>
      <c r="P936" s="50" t="s">
        <v>2311</v>
      </c>
    </row>
    <row r="937" ht="13.5" customHeight="1">
      <c r="B937" s="54"/>
      <c r="C937" s="38"/>
      <c r="D937" s="55"/>
      <c r="E937" s="56"/>
      <c r="F937" s="55"/>
      <c r="G937" s="55"/>
      <c r="H937" s="56"/>
      <c r="J937" s="57" t="str">
        <f t="shared" si="1"/>
        <v>TáchiraJunínQuinimari</v>
      </c>
      <c r="K937" s="50" t="s">
        <v>279</v>
      </c>
      <c r="L937" s="50" t="s">
        <v>280</v>
      </c>
      <c r="M937" s="50" t="s">
        <v>2307</v>
      </c>
      <c r="N937" s="50" t="s">
        <v>2308</v>
      </c>
      <c r="O937" s="50" t="s">
        <v>2312</v>
      </c>
      <c r="P937" s="50" t="s">
        <v>2313</v>
      </c>
    </row>
    <row r="938" ht="13.5" customHeight="1">
      <c r="B938" s="54"/>
      <c r="C938" s="38"/>
      <c r="D938" s="55"/>
      <c r="E938" s="56"/>
      <c r="F938" s="55"/>
      <c r="G938" s="55"/>
      <c r="H938" s="56"/>
      <c r="J938" s="57" t="str">
        <f t="shared" si="1"/>
        <v>TáchiraJunínBramon</v>
      </c>
      <c r="K938" s="50" t="s">
        <v>279</v>
      </c>
      <c r="L938" s="50" t="s">
        <v>280</v>
      </c>
      <c r="M938" s="50" t="s">
        <v>2307</v>
      </c>
      <c r="N938" s="50" t="s">
        <v>2308</v>
      </c>
      <c r="O938" s="50" t="s">
        <v>2314</v>
      </c>
      <c r="P938" s="50" t="s">
        <v>2315</v>
      </c>
    </row>
    <row r="939" ht="13.5" customHeight="1">
      <c r="B939" s="54"/>
      <c r="C939" s="38"/>
      <c r="D939" s="55"/>
      <c r="E939" s="56"/>
      <c r="F939" s="55"/>
      <c r="G939" s="55"/>
      <c r="H939" s="56"/>
      <c r="J939" s="57" t="str">
        <f t="shared" si="1"/>
        <v>TáchiraLibertadLibertad</v>
      </c>
      <c r="K939" s="50" t="s">
        <v>279</v>
      </c>
      <c r="L939" s="50" t="s">
        <v>280</v>
      </c>
      <c r="M939" s="50" t="s">
        <v>2316</v>
      </c>
      <c r="N939" s="50" t="s">
        <v>273</v>
      </c>
      <c r="O939" s="50" t="s">
        <v>2317</v>
      </c>
      <c r="P939" s="50" t="s">
        <v>273</v>
      </c>
    </row>
    <row r="940" ht="13.5" customHeight="1">
      <c r="B940" s="54"/>
      <c r="C940" s="38"/>
      <c r="D940" s="55"/>
      <c r="E940" s="56"/>
      <c r="F940" s="55"/>
      <c r="G940" s="55"/>
      <c r="H940" s="56"/>
      <c r="J940" s="57" t="str">
        <f t="shared" si="1"/>
        <v>TáchiraLibertadCipriano Castro</v>
      </c>
      <c r="K940" s="50" t="s">
        <v>279</v>
      </c>
      <c r="L940" s="50" t="s">
        <v>280</v>
      </c>
      <c r="M940" s="50" t="s">
        <v>2316</v>
      </c>
      <c r="N940" s="50" t="s">
        <v>273</v>
      </c>
      <c r="O940" s="50" t="s">
        <v>2318</v>
      </c>
      <c r="P940" s="50" t="s">
        <v>2319</v>
      </c>
    </row>
    <row r="941" ht="13.5" customHeight="1">
      <c r="B941" s="54"/>
      <c r="C941" s="38"/>
      <c r="D941" s="55"/>
      <c r="E941" s="56"/>
      <c r="F941" s="55"/>
      <c r="G941" s="55"/>
      <c r="H941" s="56"/>
      <c r="J941" s="57" t="str">
        <f t="shared" si="1"/>
        <v>TáchiraLibertadManuel Felipe Rugeles</v>
      </c>
      <c r="K941" s="50" t="s">
        <v>279</v>
      </c>
      <c r="L941" s="50" t="s">
        <v>280</v>
      </c>
      <c r="M941" s="50" t="s">
        <v>2316</v>
      </c>
      <c r="N941" s="50" t="s">
        <v>273</v>
      </c>
      <c r="O941" s="50" t="s">
        <v>2320</v>
      </c>
      <c r="P941" s="50" t="s">
        <v>2321</v>
      </c>
    </row>
    <row r="942" ht="13.5" customHeight="1">
      <c r="B942" s="54"/>
      <c r="C942" s="38"/>
      <c r="D942" s="55"/>
      <c r="E942" s="56"/>
      <c r="F942" s="55"/>
      <c r="G942" s="55"/>
      <c r="H942" s="56"/>
      <c r="J942" s="57" t="str">
        <f t="shared" si="1"/>
        <v>TáchiraLibertadorLibertador</v>
      </c>
      <c r="K942" s="50" t="s">
        <v>279</v>
      </c>
      <c r="L942" s="50" t="s">
        <v>280</v>
      </c>
      <c r="M942" s="50" t="s">
        <v>2322</v>
      </c>
      <c r="N942" s="50" t="s">
        <v>34</v>
      </c>
      <c r="O942" s="50" t="s">
        <v>2323</v>
      </c>
      <c r="P942" s="50" t="s">
        <v>34</v>
      </c>
    </row>
    <row r="943" ht="13.5" customHeight="1">
      <c r="B943" s="54"/>
      <c r="C943" s="38"/>
      <c r="D943" s="55"/>
      <c r="E943" s="56"/>
      <c r="F943" s="55"/>
      <c r="G943" s="55"/>
      <c r="H943" s="56"/>
      <c r="J943" s="57" t="str">
        <f t="shared" si="1"/>
        <v>TáchiraLibertadorEmeterio Ochoa</v>
      </c>
      <c r="K943" s="50" t="s">
        <v>279</v>
      </c>
      <c r="L943" s="50" t="s">
        <v>280</v>
      </c>
      <c r="M943" s="50" t="s">
        <v>2322</v>
      </c>
      <c r="N943" s="50" t="s">
        <v>34</v>
      </c>
      <c r="O943" s="50" t="s">
        <v>2324</v>
      </c>
      <c r="P943" s="50" t="s">
        <v>2325</v>
      </c>
    </row>
    <row r="944" ht="13.5" customHeight="1">
      <c r="B944" s="54"/>
      <c r="C944" s="38"/>
      <c r="D944" s="55"/>
      <c r="E944" s="56"/>
      <c r="F944" s="55"/>
      <c r="G944" s="55"/>
      <c r="H944" s="56"/>
      <c r="J944" s="57" t="str">
        <f t="shared" si="1"/>
        <v>TáchiraLibertadorDoradas</v>
      </c>
      <c r="K944" s="50" t="s">
        <v>279</v>
      </c>
      <c r="L944" s="50" t="s">
        <v>280</v>
      </c>
      <c r="M944" s="50" t="s">
        <v>2322</v>
      </c>
      <c r="N944" s="50" t="s">
        <v>34</v>
      </c>
      <c r="O944" s="50" t="s">
        <v>2326</v>
      </c>
      <c r="P944" s="50" t="s">
        <v>2327</v>
      </c>
    </row>
    <row r="945" ht="13.5" customHeight="1">
      <c r="B945" s="54"/>
      <c r="C945" s="38"/>
      <c r="D945" s="55"/>
      <c r="E945" s="56"/>
      <c r="F945" s="55"/>
      <c r="G945" s="55"/>
      <c r="H945" s="56"/>
      <c r="J945" s="57" t="str">
        <f t="shared" si="1"/>
        <v>TáchiraLibertadorSan Joaquín De Navay</v>
      </c>
      <c r="K945" s="50" t="s">
        <v>279</v>
      </c>
      <c r="L945" s="50" t="s">
        <v>280</v>
      </c>
      <c r="M945" s="50" t="s">
        <v>2322</v>
      </c>
      <c r="N945" s="50" t="s">
        <v>34</v>
      </c>
      <c r="O945" s="50" t="s">
        <v>2328</v>
      </c>
      <c r="P945" s="50" t="s">
        <v>2329</v>
      </c>
    </row>
    <row r="946" ht="13.5" customHeight="1">
      <c r="B946" s="54"/>
      <c r="C946" s="38"/>
      <c r="D946" s="55"/>
      <c r="E946" s="56"/>
      <c r="F946" s="55"/>
      <c r="G946" s="55"/>
      <c r="H946" s="56"/>
      <c r="J946" s="57" t="str">
        <f t="shared" si="1"/>
        <v>TáchiraLobateraLobatera</v>
      </c>
      <c r="K946" s="50" t="s">
        <v>279</v>
      </c>
      <c r="L946" s="50" t="s">
        <v>280</v>
      </c>
      <c r="M946" s="50" t="s">
        <v>2330</v>
      </c>
      <c r="N946" s="50" t="s">
        <v>2331</v>
      </c>
      <c r="O946" s="50" t="s">
        <v>2332</v>
      </c>
      <c r="P946" s="50" t="s">
        <v>2331</v>
      </c>
    </row>
    <row r="947" ht="13.5" customHeight="1">
      <c r="B947" s="54"/>
      <c r="C947" s="38"/>
      <c r="D947" s="55"/>
      <c r="E947" s="56"/>
      <c r="F947" s="55"/>
      <c r="G947" s="55"/>
      <c r="H947" s="56"/>
      <c r="J947" s="57" t="str">
        <f t="shared" si="1"/>
        <v>TáchiraLobateraConstitución</v>
      </c>
      <c r="K947" s="50" t="s">
        <v>279</v>
      </c>
      <c r="L947" s="50" t="s">
        <v>280</v>
      </c>
      <c r="M947" s="50" t="s">
        <v>2330</v>
      </c>
      <c r="N947" s="50" t="s">
        <v>2331</v>
      </c>
      <c r="O947" s="50" t="s">
        <v>2333</v>
      </c>
      <c r="P947" s="50" t="s">
        <v>2334</v>
      </c>
    </row>
    <row r="948" ht="13.5" customHeight="1">
      <c r="B948" s="54"/>
      <c r="C948" s="38"/>
      <c r="D948" s="55"/>
      <c r="E948" s="56"/>
      <c r="F948" s="55"/>
      <c r="G948" s="55"/>
      <c r="H948" s="56"/>
      <c r="J948" s="57" t="str">
        <f t="shared" si="1"/>
        <v>TáchiraMichelenaCapital Michelena</v>
      </c>
      <c r="K948" s="50" t="s">
        <v>279</v>
      </c>
      <c r="L948" s="50" t="s">
        <v>280</v>
      </c>
      <c r="M948" s="50" t="s">
        <v>2335</v>
      </c>
      <c r="N948" s="50" t="s">
        <v>2336</v>
      </c>
      <c r="O948" s="50" t="s">
        <v>2337</v>
      </c>
      <c r="P948" s="50" t="s">
        <v>2338</v>
      </c>
    </row>
    <row r="949" ht="13.5" customHeight="1">
      <c r="B949" s="54"/>
      <c r="C949" s="38"/>
      <c r="D949" s="55"/>
      <c r="E949" s="56"/>
      <c r="F949" s="55"/>
      <c r="G949" s="55"/>
      <c r="H949" s="56"/>
      <c r="J949" s="57" t="str">
        <f t="shared" si="1"/>
        <v>TáchiraPanamericanoPanamericano</v>
      </c>
      <c r="K949" s="50" t="s">
        <v>279</v>
      </c>
      <c r="L949" s="50" t="s">
        <v>280</v>
      </c>
      <c r="M949" s="50" t="s">
        <v>2339</v>
      </c>
      <c r="N949" s="50" t="s">
        <v>2340</v>
      </c>
      <c r="O949" s="50" t="s">
        <v>2341</v>
      </c>
      <c r="P949" s="50" t="s">
        <v>2340</v>
      </c>
    </row>
    <row r="950" ht="13.5" customHeight="1">
      <c r="B950" s="54"/>
      <c r="C950" s="38"/>
      <c r="D950" s="55"/>
      <c r="E950" s="56"/>
      <c r="F950" s="55"/>
      <c r="G950" s="55"/>
      <c r="H950" s="56"/>
      <c r="J950" s="57" t="str">
        <f t="shared" si="1"/>
        <v>TáchiraPanamericanoLa Palmita</v>
      </c>
      <c r="K950" s="50" t="s">
        <v>279</v>
      </c>
      <c r="L950" s="50" t="s">
        <v>280</v>
      </c>
      <c r="M950" s="50" t="s">
        <v>2339</v>
      </c>
      <c r="N950" s="50" t="s">
        <v>2340</v>
      </c>
      <c r="O950" s="50" t="s">
        <v>2342</v>
      </c>
      <c r="P950" s="50" t="s">
        <v>2343</v>
      </c>
    </row>
    <row r="951" ht="13.5" customHeight="1">
      <c r="B951" s="54"/>
      <c r="C951" s="38"/>
      <c r="D951" s="55"/>
      <c r="E951" s="56"/>
      <c r="F951" s="55"/>
      <c r="G951" s="55"/>
      <c r="H951" s="56"/>
      <c r="J951" s="57" t="str">
        <f t="shared" si="1"/>
        <v>TáchiraPedro María UreñaPedro María Ureña</v>
      </c>
      <c r="K951" s="50" t="s">
        <v>279</v>
      </c>
      <c r="L951" s="50" t="s">
        <v>280</v>
      </c>
      <c r="M951" s="50" t="s">
        <v>2344</v>
      </c>
      <c r="N951" s="50" t="s">
        <v>2345</v>
      </c>
      <c r="O951" s="50" t="s">
        <v>2346</v>
      </c>
      <c r="P951" s="50" t="s">
        <v>2345</v>
      </c>
    </row>
    <row r="952" ht="13.5" customHeight="1">
      <c r="B952" s="54"/>
      <c r="C952" s="38"/>
      <c r="D952" s="55"/>
      <c r="E952" s="56"/>
      <c r="F952" s="55"/>
      <c r="G952" s="55"/>
      <c r="H952" s="56"/>
      <c r="J952" s="57" t="str">
        <f t="shared" si="1"/>
        <v>TáchiraPedro María UreñaNueva Arcadia</v>
      </c>
      <c r="K952" s="50" t="s">
        <v>279</v>
      </c>
      <c r="L952" s="50" t="s">
        <v>280</v>
      </c>
      <c r="M952" s="50" t="s">
        <v>2344</v>
      </c>
      <c r="N952" s="50" t="s">
        <v>2345</v>
      </c>
      <c r="O952" s="50" t="s">
        <v>2347</v>
      </c>
      <c r="P952" s="50" t="s">
        <v>2348</v>
      </c>
    </row>
    <row r="953" ht="13.5" customHeight="1">
      <c r="B953" s="54"/>
      <c r="C953" s="38"/>
      <c r="D953" s="55"/>
      <c r="E953" s="56"/>
      <c r="F953" s="55"/>
      <c r="G953" s="55"/>
      <c r="H953" s="56"/>
      <c r="J953" s="57" t="str">
        <f t="shared" si="1"/>
        <v>TáchiraRafael UrdanetaDelicias</v>
      </c>
      <c r="K953" s="50" t="s">
        <v>279</v>
      </c>
      <c r="L953" s="50" t="s">
        <v>280</v>
      </c>
      <c r="M953" s="50" t="s">
        <v>2349</v>
      </c>
      <c r="N953" s="50" t="s">
        <v>2350</v>
      </c>
      <c r="O953" s="50" t="s">
        <v>2351</v>
      </c>
      <c r="P953" s="50" t="s">
        <v>2352</v>
      </c>
    </row>
    <row r="954" ht="13.5" customHeight="1">
      <c r="B954" s="54"/>
      <c r="C954" s="38"/>
      <c r="D954" s="55"/>
      <c r="E954" s="56"/>
      <c r="F954" s="55"/>
      <c r="G954" s="55"/>
      <c r="H954" s="56"/>
      <c r="J954" s="57" t="str">
        <f t="shared" si="1"/>
        <v>TáchiraSamuel Darío MaldonadoSamuel Darío Maldonado</v>
      </c>
      <c r="K954" s="50" t="s">
        <v>279</v>
      </c>
      <c r="L954" s="50" t="s">
        <v>280</v>
      </c>
      <c r="M954" s="50" t="s">
        <v>2353</v>
      </c>
      <c r="N954" s="50" t="s">
        <v>2354</v>
      </c>
      <c r="O954" s="50" t="s">
        <v>2355</v>
      </c>
      <c r="P954" s="50" t="s">
        <v>2354</v>
      </c>
    </row>
    <row r="955" ht="13.5" customHeight="1">
      <c r="B955" s="54"/>
      <c r="C955" s="38"/>
      <c r="D955" s="55"/>
      <c r="E955" s="56"/>
      <c r="F955" s="55"/>
      <c r="G955" s="55"/>
      <c r="H955" s="56"/>
      <c r="J955" s="57" t="str">
        <f t="shared" si="1"/>
        <v>TáchiraSamuel Darío MaldonadoBoconó</v>
      </c>
      <c r="K955" s="50" t="s">
        <v>279</v>
      </c>
      <c r="L955" s="50" t="s">
        <v>280</v>
      </c>
      <c r="M955" s="50" t="s">
        <v>2353</v>
      </c>
      <c r="N955" s="50" t="s">
        <v>2354</v>
      </c>
      <c r="O955" s="50" t="s">
        <v>2356</v>
      </c>
      <c r="P955" s="50" t="s">
        <v>476</v>
      </c>
    </row>
    <row r="956" ht="13.5" customHeight="1">
      <c r="B956" s="54"/>
      <c r="C956" s="38"/>
      <c r="D956" s="55"/>
      <c r="E956" s="56"/>
      <c r="F956" s="55"/>
      <c r="G956" s="55"/>
      <c r="H956" s="56"/>
      <c r="J956" s="57" t="str">
        <f t="shared" si="1"/>
        <v>TáchiraSamuel Darío MaldonadoHernández</v>
      </c>
      <c r="K956" s="50" t="s">
        <v>279</v>
      </c>
      <c r="L956" s="50" t="s">
        <v>280</v>
      </c>
      <c r="M956" s="50" t="s">
        <v>2353</v>
      </c>
      <c r="N956" s="50" t="s">
        <v>2354</v>
      </c>
      <c r="O956" s="50" t="s">
        <v>2357</v>
      </c>
      <c r="P956" s="50" t="s">
        <v>2358</v>
      </c>
    </row>
    <row r="957" ht="13.5" customHeight="1">
      <c r="B957" s="54"/>
      <c r="C957" s="38"/>
      <c r="D957" s="55"/>
      <c r="E957" s="56"/>
      <c r="F957" s="55"/>
      <c r="G957" s="55"/>
      <c r="H957" s="56"/>
      <c r="J957" s="57" t="str">
        <f t="shared" si="1"/>
        <v>TáchiraSan CristóbalLa Concordia</v>
      </c>
      <c r="K957" s="50" t="s">
        <v>279</v>
      </c>
      <c r="L957" s="50" t="s">
        <v>280</v>
      </c>
      <c r="M957" s="50" t="s">
        <v>2359</v>
      </c>
      <c r="N957" s="50" t="s">
        <v>651</v>
      </c>
      <c r="O957" s="50" t="s">
        <v>2360</v>
      </c>
      <c r="P957" s="50" t="s">
        <v>2361</v>
      </c>
    </row>
    <row r="958" ht="13.5" customHeight="1">
      <c r="B958" s="54"/>
      <c r="C958" s="38"/>
      <c r="D958" s="55"/>
      <c r="E958" s="56"/>
      <c r="F958" s="55"/>
      <c r="G958" s="55"/>
      <c r="H958" s="56"/>
      <c r="J958" s="57" t="str">
        <f t="shared" si="1"/>
        <v>TáchiraSan CristóbalPedro María Morantes</v>
      </c>
      <c r="K958" s="50" t="s">
        <v>279</v>
      </c>
      <c r="L958" s="50" t="s">
        <v>280</v>
      </c>
      <c r="M958" s="50" t="s">
        <v>2359</v>
      </c>
      <c r="N958" s="50" t="s">
        <v>651</v>
      </c>
      <c r="O958" s="50" t="s">
        <v>2362</v>
      </c>
      <c r="P958" s="50" t="s">
        <v>2363</v>
      </c>
    </row>
    <row r="959" ht="13.5" customHeight="1">
      <c r="B959" s="54"/>
      <c r="C959" s="38"/>
      <c r="D959" s="55"/>
      <c r="E959" s="56"/>
      <c r="F959" s="55"/>
      <c r="G959" s="55"/>
      <c r="H959" s="56"/>
      <c r="J959" s="57" t="str">
        <f t="shared" si="1"/>
        <v>TáchiraSan CristóbalSan Juan Bautista</v>
      </c>
      <c r="K959" s="50" t="s">
        <v>279</v>
      </c>
      <c r="L959" s="50" t="s">
        <v>280</v>
      </c>
      <c r="M959" s="50" t="s">
        <v>2359</v>
      </c>
      <c r="N959" s="50" t="s">
        <v>651</v>
      </c>
      <c r="O959" s="50" t="s">
        <v>2364</v>
      </c>
      <c r="P959" s="50" t="s">
        <v>2365</v>
      </c>
    </row>
    <row r="960" ht="13.5" customHeight="1">
      <c r="B960" s="54"/>
      <c r="C960" s="38"/>
      <c r="D960" s="55"/>
      <c r="E960" s="56"/>
      <c r="F960" s="55"/>
      <c r="G960" s="55"/>
      <c r="H960" s="56"/>
      <c r="J960" s="57" t="str">
        <f t="shared" si="1"/>
        <v>TáchiraSan CristóbalSan Sebastián</v>
      </c>
      <c r="K960" s="50" t="s">
        <v>279</v>
      </c>
      <c r="L960" s="50" t="s">
        <v>280</v>
      </c>
      <c r="M960" s="50" t="s">
        <v>2359</v>
      </c>
      <c r="N960" s="50" t="s">
        <v>651</v>
      </c>
      <c r="O960" s="50" t="s">
        <v>2366</v>
      </c>
      <c r="P960" s="50" t="s">
        <v>418</v>
      </c>
    </row>
    <row r="961" ht="13.5" customHeight="1">
      <c r="B961" s="54"/>
      <c r="C961" s="38"/>
      <c r="D961" s="55"/>
      <c r="E961" s="56"/>
      <c r="F961" s="55"/>
      <c r="G961" s="55"/>
      <c r="H961" s="56"/>
      <c r="J961" s="57" t="str">
        <f t="shared" si="1"/>
        <v>TáchiraSan CristóbalDr. Francisco Romero Lobo</v>
      </c>
      <c r="K961" s="50" t="s">
        <v>279</v>
      </c>
      <c r="L961" s="50" t="s">
        <v>280</v>
      </c>
      <c r="M961" s="50" t="s">
        <v>2359</v>
      </c>
      <c r="N961" s="50" t="s">
        <v>651</v>
      </c>
      <c r="O961" s="50" t="s">
        <v>2367</v>
      </c>
      <c r="P961" s="50" t="s">
        <v>2368</v>
      </c>
    </row>
    <row r="962" ht="13.5" customHeight="1">
      <c r="B962" s="54"/>
      <c r="C962" s="38"/>
      <c r="D962" s="55"/>
      <c r="E962" s="56"/>
      <c r="F962" s="55"/>
      <c r="G962" s="55"/>
      <c r="H962" s="56"/>
      <c r="J962" s="57" t="str">
        <f t="shared" si="1"/>
        <v>TáchiraSeborucoCapital Seboruco</v>
      </c>
      <c r="K962" s="50" t="s">
        <v>279</v>
      </c>
      <c r="L962" s="50" t="s">
        <v>280</v>
      </c>
      <c r="M962" s="50" t="s">
        <v>2369</v>
      </c>
      <c r="N962" s="50" t="s">
        <v>2370</v>
      </c>
      <c r="O962" s="50" t="s">
        <v>2371</v>
      </c>
      <c r="P962" s="50" t="s">
        <v>2372</v>
      </c>
    </row>
    <row r="963" ht="13.5" customHeight="1">
      <c r="B963" s="54"/>
      <c r="C963" s="38"/>
      <c r="D963" s="55"/>
      <c r="E963" s="56"/>
      <c r="F963" s="55"/>
      <c r="G963" s="55"/>
      <c r="H963" s="56"/>
      <c r="J963" s="57" t="str">
        <f t="shared" si="1"/>
        <v>TáchiraSimón RodríguezSimón Rodríguez</v>
      </c>
      <c r="K963" s="50" t="s">
        <v>279</v>
      </c>
      <c r="L963" s="50" t="s">
        <v>280</v>
      </c>
      <c r="M963" s="50" t="s">
        <v>2373</v>
      </c>
      <c r="N963" s="50" t="s">
        <v>330</v>
      </c>
      <c r="O963" s="50" t="s">
        <v>2374</v>
      </c>
      <c r="P963" s="50" t="s">
        <v>330</v>
      </c>
    </row>
    <row r="964" ht="13.5" customHeight="1">
      <c r="B964" s="54"/>
      <c r="C964" s="38"/>
      <c r="D964" s="55"/>
      <c r="E964" s="56"/>
      <c r="F964" s="55"/>
      <c r="G964" s="55"/>
      <c r="H964" s="56"/>
      <c r="J964" s="57" t="str">
        <f t="shared" si="1"/>
        <v>TáchiraSucreSucre</v>
      </c>
      <c r="K964" s="50" t="s">
        <v>279</v>
      </c>
      <c r="L964" s="50" t="s">
        <v>280</v>
      </c>
      <c r="M964" s="50" t="s">
        <v>2375</v>
      </c>
      <c r="N964" s="50" t="s">
        <v>271</v>
      </c>
      <c r="O964" s="50" t="s">
        <v>2376</v>
      </c>
      <c r="P964" s="50" t="s">
        <v>271</v>
      </c>
    </row>
    <row r="965" ht="13.5" customHeight="1">
      <c r="B965" s="54"/>
      <c r="C965" s="38"/>
      <c r="D965" s="55"/>
      <c r="E965" s="56"/>
      <c r="F965" s="55"/>
      <c r="G965" s="55"/>
      <c r="H965" s="56"/>
      <c r="J965" s="57" t="str">
        <f t="shared" si="1"/>
        <v>TáchiraSucreEleazar López Contreras</v>
      </c>
      <c r="K965" s="50" t="s">
        <v>279</v>
      </c>
      <c r="L965" s="50" t="s">
        <v>280</v>
      </c>
      <c r="M965" s="50" t="s">
        <v>2375</v>
      </c>
      <c r="N965" s="50" t="s">
        <v>271</v>
      </c>
      <c r="O965" s="50" t="s">
        <v>2377</v>
      </c>
      <c r="P965" s="50" t="s">
        <v>2378</v>
      </c>
    </row>
    <row r="966" ht="13.5" customHeight="1">
      <c r="B966" s="54"/>
      <c r="C966" s="38"/>
      <c r="D966" s="55"/>
      <c r="E966" s="56"/>
      <c r="F966" s="55"/>
      <c r="G966" s="55"/>
      <c r="H966" s="56"/>
      <c r="J966" s="57" t="str">
        <f t="shared" si="1"/>
        <v>TáchiraSucreSan Pablo</v>
      </c>
      <c r="K966" s="50" t="s">
        <v>279</v>
      </c>
      <c r="L966" s="50" t="s">
        <v>280</v>
      </c>
      <c r="M966" s="50" t="s">
        <v>2375</v>
      </c>
      <c r="N966" s="50" t="s">
        <v>271</v>
      </c>
      <c r="O966" s="50" t="s">
        <v>2379</v>
      </c>
      <c r="P966" s="50" t="s">
        <v>605</v>
      </c>
    </row>
    <row r="967" ht="13.5" customHeight="1">
      <c r="B967" s="54"/>
      <c r="C967" s="38"/>
      <c r="D967" s="55"/>
      <c r="E967" s="56"/>
      <c r="F967" s="55"/>
      <c r="G967" s="55"/>
      <c r="H967" s="56"/>
      <c r="J967" s="57" t="str">
        <f t="shared" si="1"/>
        <v>TáchiraTorbesTorbes</v>
      </c>
      <c r="K967" s="50" t="s">
        <v>279</v>
      </c>
      <c r="L967" s="50" t="s">
        <v>280</v>
      </c>
      <c r="M967" s="50" t="s">
        <v>2380</v>
      </c>
      <c r="N967" s="50" t="s">
        <v>2381</v>
      </c>
      <c r="O967" s="50" t="s">
        <v>2382</v>
      </c>
      <c r="P967" s="50" t="s">
        <v>2381</v>
      </c>
    </row>
    <row r="968" ht="13.5" customHeight="1">
      <c r="B968" s="54"/>
      <c r="C968" s="38"/>
      <c r="D968" s="55"/>
      <c r="E968" s="56"/>
      <c r="F968" s="55"/>
      <c r="G968" s="55"/>
      <c r="H968" s="56"/>
      <c r="J968" s="57" t="str">
        <f t="shared" si="1"/>
        <v>TáchiraUribanteUribante</v>
      </c>
      <c r="K968" s="50" t="s">
        <v>279</v>
      </c>
      <c r="L968" s="50" t="s">
        <v>280</v>
      </c>
      <c r="M968" s="50" t="s">
        <v>2383</v>
      </c>
      <c r="N968" s="50" t="s">
        <v>2384</v>
      </c>
      <c r="O968" s="50" t="s">
        <v>2385</v>
      </c>
      <c r="P968" s="50" t="s">
        <v>2384</v>
      </c>
    </row>
    <row r="969" ht="13.5" customHeight="1">
      <c r="B969" s="54"/>
      <c r="C969" s="38"/>
      <c r="D969" s="55"/>
      <c r="E969" s="56"/>
      <c r="F969" s="55"/>
      <c r="G969" s="55"/>
      <c r="H969" s="56"/>
      <c r="J969" s="57" t="str">
        <f t="shared" si="1"/>
        <v>TáchiraUribanteCárdenas</v>
      </c>
      <c r="K969" s="50" t="s">
        <v>279</v>
      </c>
      <c r="L969" s="50" t="s">
        <v>280</v>
      </c>
      <c r="M969" s="50" t="s">
        <v>2383</v>
      </c>
      <c r="N969" s="50" t="s">
        <v>2384</v>
      </c>
      <c r="O969" s="50" t="s">
        <v>2386</v>
      </c>
      <c r="P969" s="50" t="s">
        <v>2264</v>
      </c>
    </row>
    <row r="970" ht="13.5" customHeight="1">
      <c r="B970" s="54"/>
      <c r="C970" s="38"/>
      <c r="D970" s="55"/>
      <c r="E970" s="56"/>
      <c r="F970" s="55"/>
      <c r="G970" s="55"/>
      <c r="H970" s="56"/>
      <c r="J970" s="57" t="str">
        <f t="shared" si="1"/>
        <v>TáchiraUribanteJuan Pablo Peñaloza</v>
      </c>
      <c r="K970" s="50" t="s">
        <v>279</v>
      </c>
      <c r="L970" s="50" t="s">
        <v>280</v>
      </c>
      <c r="M970" s="50" t="s">
        <v>2383</v>
      </c>
      <c r="N970" s="50" t="s">
        <v>2384</v>
      </c>
      <c r="O970" s="50" t="s">
        <v>2387</v>
      </c>
      <c r="P970" s="50" t="s">
        <v>2388</v>
      </c>
    </row>
    <row r="971" ht="13.5" customHeight="1">
      <c r="B971" s="54"/>
      <c r="C971" s="38"/>
      <c r="D971" s="55"/>
      <c r="E971" s="56"/>
      <c r="F971" s="55"/>
      <c r="G971" s="55"/>
      <c r="H971" s="56"/>
      <c r="J971" s="57" t="str">
        <f t="shared" si="1"/>
        <v>TáchiraUribantePotosí</v>
      </c>
      <c r="K971" s="50" t="s">
        <v>279</v>
      </c>
      <c r="L971" s="50" t="s">
        <v>280</v>
      </c>
      <c r="M971" s="50" t="s">
        <v>2383</v>
      </c>
      <c r="N971" s="50" t="s">
        <v>2384</v>
      </c>
      <c r="O971" s="50" t="s">
        <v>2389</v>
      </c>
      <c r="P971" s="50" t="s">
        <v>2390</v>
      </c>
    </row>
    <row r="972" ht="13.5" customHeight="1">
      <c r="B972" s="54"/>
      <c r="C972" s="38"/>
      <c r="D972" s="55"/>
      <c r="E972" s="56"/>
      <c r="F972" s="55"/>
      <c r="G972" s="55"/>
      <c r="H972" s="56"/>
      <c r="J972" s="57" t="str">
        <f t="shared" si="1"/>
        <v>TáchiraSan Judas TadeoSan Judas Tadeo</v>
      </c>
      <c r="K972" s="50" t="s">
        <v>279</v>
      </c>
      <c r="L972" s="50" t="s">
        <v>280</v>
      </c>
      <c r="M972" s="50" t="s">
        <v>2391</v>
      </c>
      <c r="N972" s="50" t="s">
        <v>2392</v>
      </c>
      <c r="O972" s="50" t="s">
        <v>2393</v>
      </c>
      <c r="P972" s="50" t="s">
        <v>2392</v>
      </c>
    </row>
    <row r="973" ht="13.5" customHeight="1">
      <c r="B973" s="54"/>
      <c r="C973" s="38"/>
      <c r="D973" s="55"/>
      <c r="E973" s="56"/>
      <c r="F973" s="55"/>
      <c r="G973" s="55"/>
      <c r="H973" s="56"/>
      <c r="J973" s="57" t="str">
        <f t="shared" si="1"/>
        <v>TrujilloAndrés BelloSanta Isabel</v>
      </c>
      <c r="K973" s="50" t="s">
        <v>287</v>
      </c>
      <c r="L973" s="50" t="s">
        <v>288</v>
      </c>
      <c r="M973" s="50" t="s">
        <v>2394</v>
      </c>
      <c r="N973" s="50" t="s">
        <v>464</v>
      </c>
      <c r="O973" s="50" t="s">
        <v>2395</v>
      </c>
      <c r="P973" s="50" t="s">
        <v>2396</v>
      </c>
    </row>
    <row r="974" ht="13.5" customHeight="1">
      <c r="B974" s="54"/>
      <c r="C974" s="38"/>
      <c r="D974" s="55"/>
      <c r="E974" s="56"/>
      <c r="F974" s="55"/>
      <c r="G974" s="55"/>
      <c r="H974" s="56"/>
      <c r="J974" s="57" t="str">
        <f t="shared" si="1"/>
        <v>TrujilloAndrés BelloAraguaney</v>
      </c>
      <c r="K974" s="50" t="s">
        <v>287</v>
      </c>
      <c r="L974" s="50" t="s">
        <v>288</v>
      </c>
      <c r="M974" s="50" t="s">
        <v>2394</v>
      </c>
      <c r="N974" s="50" t="s">
        <v>464</v>
      </c>
      <c r="O974" s="50" t="s">
        <v>2397</v>
      </c>
      <c r="P974" s="50" t="s">
        <v>2398</v>
      </c>
    </row>
    <row r="975" ht="13.5" customHeight="1">
      <c r="B975" s="54"/>
      <c r="C975" s="38"/>
      <c r="D975" s="55"/>
      <c r="E975" s="56"/>
      <c r="F975" s="55"/>
      <c r="G975" s="55"/>
      <c r="H975" s="56"/>
      <c r="J975" s="57" t="str">
        <f t="shared" si="1"/>
        <v>TrujilloAndrés BelloEl Jaguito</v>
      </c>
      <c r="K975" s="50" t="s">
        <v>287</v>
      </c>
      <c r="L975" s="50" t="s">
        <v>288</v>
      </c>
      <c r="M975" s="50" t="s">
        <v>2394</v>
      </c>
      <c r="N975" s="50" t="s">
        <v>464</v>
      </c>
      <c r="O975" s="50" t="s">
        <v>2399</v>
      </c>
      <c r="P975" s="50" t="s">
        <v>2400</v>
      </c>
    </row>
    <row r="976" ht="13.5" customHeight="1">
      <c r="B976" s="54"/>
      <c r="C976" s="38"/>
      <c r="D976" s="55"/>
      <c r="E976" s="56"/>
      <c r="F976" s="55"/>
      <c r="G976" s="55"/>
      <c r="H976" s="56"/>
      <c r="J976" s="57" t="str">
        <f t="shared" si="1"/>
        <v>TrujilloAndrés BelloLa Esperanza</v>
      </c>
      <c r="K976" s="50" t="s">
        <v>287</v>
      </c>
      <c r="L976" s="50" t="s">
        <v>288</v>
      </c>
      <c r="M976" s="50" t="s">
        <v>2394</v>
      </c>
      <c r="N976" s="50" t="s">
        <v>464</v>
      </c>
      <c r="O976" s="50" t="s">
        <v>2401</v>
      </c>
      <c r="P976" s="50" t="s">
        <v>2402</v>
      </c>
    </row>
    <row r="977" ht="13.5" customHeight="1">
      <c r="B977" s="54"/>
      <c r="C977" s="38"/>
      <c r="D977" s="55"/>
      <c r="E977" s="56"/>
      <c r="F977" s="55"/>
      <c r="G977" s="55"/>
      <c r="H977" s="56"/>
      <c r="J977" s="57" t="str">
        <f t="shared" si="1"/>
        <v>TrujilloBoconóBocono</v>
      </c>
      <c r="K977" s="50" t="s">
        <v>287</v>
      </c>
      <c r="L977" s="50" t="s">
        <v>288</v>
      </c>
      <c r="M977" s="50" t="s">
        <v>2403</v>
      </c>
      <c r="N977" s="50" t="s">
        <v>476</v>
      </c>
      <c r="O977" s="50" t="s">
        <v>2404</v>
      </c>
      <c r="P977" s="50" t="s">
        <v>2405</v>
      </c>
    </row>
    <row r="978" ht="13.5" customHeight="1">
      <c r="B978" s="54"/>
      <c r="C978" s="38"/>
      <c r="D978" s="55"/>
      <c r="E978" s="56"/>
      <c r="F978" s="55"/>
      <c r="G978" s="55"/>
      <c r="H978" s="56"/>
      <c r="J978" s="57" t="str">
        <f t="shared" si="1"/>
        <v>TrujilloBoconóEl Carmen</v>
      </c>
      <c r="K978" s="50" t="s">
        <v>287</v>
      </c>
      <c r="L978" s="50" t="s">
        <v>288</v>
      </c>
      <c r="M978" s="50" t="s">
        <v>2403</v>
      </c>
      <c r="N978" s="50" t="s">
        <v>476</v>
      </c>
      <c r="O978" s="50" t="s">
        <v>2406</v>
      </c>
      <c r="P978" s="50" t="s">
        <v>649</v>
      </c>
    </row>
    <row r="979" ht="13.5" customHeight="1">
      <c r="B979" s="54"/>
      <c r="C979" s="38"/>
      <c r="D979" s="55"/>
      <c r="E979" s="56"/>
      <c r="F979" s="55"/>
      <c r="G979" s="55"/>
      <c r="H979" s="56"/>
      <c r="J979" s="57" t="str">
        <f t="shared" si="1"/>
        <v>TrujilloBoconóMosquey</v>
      </c>
      <c r="K979" s="50" t="s">
        <v>287</v>
      </c>
      <c r="L979" s="50" t="s">
        <v>288</v>
      </c>
      <c r="M979" s="50" t="s">
        <v>2403</v>
      </c>
      <c r="N979" s="50" t="s">
        <v>476</v>
      </c>
      <c r="O979" s="50" t="s">
        <v>2407</v>
      </c>
      <c r="P979" s="50" t="s">
        <v>2408</v>
      </c>
    </row>
    <row r="980" ht="13.5" customHeight="1">
      <c r="B980" s="54"/>
      <c r="C980" s="38"/>
      <c r="D980" s="55"/>
      <c r="E980" s="56"/>
      <c r="F980" s="55"/>
      <c r="G980" s="55"/>
      <c r="H980" s="56"/>
      <c r="J980" s="57" t="str">
        <f t="shared" si="1"/>
        <v>TrujilloBoconóAyacucho</v>
      </c>
      <c r="K980" s="50" t="s">
        <v>287</v>
      </c>
      <c r="L980" s="50" t="s">
        <v>288</v>
      </c>
      <c r="M980" s="50" t="s">
        <v>2403</v>
      </c>
      <c r="N980" s="50" t="s">
        <v>476</v>
      </c>
      <c r="O980" s="50" t="s">
        <v>2409</v>
      </c>
      <c r="P980" s="50" t="s">
        <v>2224</v>
      </c>
    </row>
    <row r="981" ht="13.5" customHeight="1">
      <c r="B981" s="54"/>
      <c r="C981" s="38"/>
      <c r="D981" s="55"/>
      <c r="E981" s="56"/>
      <c r="F981" s="55"/>
      <c r="G981" s="55"/>
      <c r="H981" s="56"/>
      <c r="J981" s="57" t="str">
        <f t="shared" si="1"/>
        <v>TrujilloBoconóBurbusay</v>
      </c>
      <c r="K981" s="50" t="s">
        <v>287</v>
      </c>
      <c r="L981" s="50" t="s">
        <v>288</v>
      </c>
      <c r="M981" s="50" t="s">
        <v>2403</v>
      </c>
      <c r="N981" s="50" t="s">
        <v>476</v>
      </c>
      <c r="O981" s="50" t="s">
        <v>2410</v>
      </c>
      <c r="P981" s="50" t="s">
        <v>2411</v>
      </c>
    </row>
    <row r="982" ht="13.5" customHeight="1">
      <c r="B982" s="54"/>
      <c r="C982" s="38"/>
      <c r="D982" s="55"/>
      <c r="E982" s="56"/>
      <c r="F982" s="55"/>
      <c r="G982" s="55"/>
      <c r="H982" s="56"/>
      <c r="J982" s="57" t="str">
        <f t="shared" si="1"/>
        <v>TrujilloBoconóGeneral Rivas</v>
      </c>
      <c r="K982" s="50" t="s">
        <v>287</v>
      </c>
      <c r="L982" s="50" t="s">
        <v>288</v>
      </c>
      <c r="M982" s="50" t="s">
        <v>2403</v>
      </c>
      <c r="N982" s="50" t="s">
        <v>476</v>
      </c>
      <c r="O982" s="50" t="s">
        <v>2412</v>
      </c>
      <c r="P982" s="50" t="s">
        <v>2413</v>
      </c>
    </row>
    <row r="983" ht="13.5" customHeight="1">
      <c r="B983" s="54"/>
      <c r="C983" s="38"/>
      <c r="D983" s="55"/>
      <c r="E983" s="56"/>
      <c r="F983" s="55"/>
      <c r="G983" s="55"/>
      <c r="H983" s="56"/>
      <c r="J983" s="57" t="str">
        <f t="shared" si="1"/>
        <v>TrujilloBoconóGuaramacal</v>
      </c>
      <c r="K983" s="50" t="s">
        <v>287</v>
      </c>
      <c r="L983" s="50" t="s">
        <v>288</v>
      </c>
      <c r="M983" s="50" t="s">
        <v>2403</v>
      </c>
      <c r="N983" s="50" t="s">
        <v>476</v>
      </c>
      <c r="O983" s="50" t="s">
        <v>2414</v>
      </c>
      <c r="P983" s="50" t="s">
        <v>2415</v>
      </c>
    </row>
    <row r="984" ht="13.5" customHeight="1">
      <c r="B984" s="54"/>
      <c r="C984" s="38"/>
      <c r="D984" s="55"/>
      <c r="E984" s="56"/>
      <c r="F984" s="55"/>
      <c r="G984" s="55"/>
      <c r="H984" s="56"/>
      <c r="J984" s="57" t="str">
        <f t="shared" si="1"/>
        <v>TrujilloBoconóVega De Guaramacal</v>
      </c>
      <c r="K984" s="50" t="s">
        <v>287</v>
      </c>
      <c r="L984" s="50" t="s">
        <v>288</v>
      </c>
      <c r="M984" s="50" t="s">
        <v>2403</v>
      </c>
      <c r="N984" s="50" t="s">
        <v>476</v>
      </c>
      <c r="O984" s="50" t="s">
        <v>2416</v>
      </c>
      <c r="P984" s="50" t="s">
        <v>2417</v>
      </c>
    </row>
    <row r="985" ht="13.5" customHeight="1">
      <c r="B985" s="54"/>
      <c r="C985" s="38"/>
      <c r="D985" s="55"/>
      <c r="E985" s="56"/>
      <c r="F985" s="55"/>
      <c r="G985" s="55"/>
      <c r="H985" s="56"/>
      <c r="J985" s="57" t="str">
        <f t="shared" si="1"/>
        <v>TrujilloBoconóMonseñor Jáuregui</v>
      </c>
      <c r="K985" s="50" t="s">
        <v>287</v>
      </c>
      <c r="L985" s="50" t="s">
        <v>288</v>
      </c>
      <c r="M985" s="50" t="s">
        <v>2403</v>
      </c>
      <c r="N985" s="50" t="s">
        <v>476</v>
      </c>
      <c r="O985" s="50" t="s">
        <v>2418</v>
      </c>
      <c r="P985" s="50" t="s">
        <v>2419</v>
      </c>
    </row>
    <row r="986" ht="13.5" customHeight="1">
      <c r="B986" s="54"/>
      <c r="C986" s="38"/>
      <c r="D986" s="55"/>
      <c r="E986" s="56"/>
      <c r="F986" s="55"/>
      <c r="G986" s="55"/>
      <c r="H986" s="56"/>
      <c r="J986" s="57" t="str">
        <f t="shared" si="1"/>
        <v>TrujilloBoconóRafael Rangel</v>
      </c>
      <c r="K986" s="50" t="s">
        <v>287</v>
      </c>
      <c r="L986" s="50" t="s">
        <v>288</v>
      </c>
      <c r="M986" s="50" t="s">
        <v>2403</v>
      </c>
      <c r="N986" s="50" t="s">
        <v>476</v>
      </c>
      <c r="O986" s="50" t="s">
        <v>2420</v>
      </c>
      <c r="P986" s="50" t="s">
        <v>573</v>
      </c>
    </row>
    <row r="987" ht="13.5" customHeight="1">
      <c r="B987" s="54"/>
      <c r="C987" s="38"/>
      <c r="D987" s="55"/>
      <c r="E987" s="56"/>
      <c r="F987" s="55"/>
      <c r="G987" s="55"/>
      <c r="H987" s="56"/>
      <c r="J987" s="57" t="str">
        <f t="shared" si="1"/>
        <v>TrujilloBoconóSan Miguel</v>
      </c>
      <c r="K987" s="50" t="s">
        <v>287</v>
      </c>
      <c r="L987" s="50" t="s">
        <v>288</v>
      </c>
      <c r="M987" s="50" t="s">
        <v>2403</v>
      </c>
      <c r="N987" s="50" t="s">
        <v>476</v>
      </c>
      <c r="O987" s="50" t="s">
        <v>2421</v>
      </c>
      <c r="P987" s="50" t="s">
        <v>436</v>
      </c>
    </row>
    <row r="988" ht="13.5" customHeight="1">
      <c r="B988" s="54"/>
      <c r="C988" s="38"/>
      <c r="D988" s="55"/>
      <c r="E988" s="56"/>
      <c r="F988" s="55"/>
      <c r="G988" s="55"/>
      <c r="H988" s="56"/>
      <c r="J988" s="57" t="str">
        <f t="shared" si="1"/>
        <v>TrujilloBoconóSan José</v>
      </c>
      <c r="K988" s="50" t="s">
        <v>287</v>
      </c>
      <c r="L988" s="50" t="s">
        <v>288</v>
      </c>
      <c r="M988" s="50" t="s">
        <v>2403</v>
      </c>
      <c r="N988" s="50" t="s">
        <v>476</v>
      </c>
      <c r="O988" s="50" t="s">
        <v>2422</v>
      </c>
      <c r="P988" s="50" t="s">
        <v>247</v>
      </c>
    </row>
    <row r="989" ht="13.5" customHeight="1">
      <c r="B989" s="54"/>
      <c r="C989" s="38"/>
      <c r="D989" s="55"/>
      <c r="E989" s="56"/>
      <c r="F989" s="55"/>
      <c r="G989" s="55"/>
      <c r="H989" s="56"/>
      <c r="J989" s="57" t="str">
        <f t="shared" si="1"/>
        <v>TrujilloBolívarSabana Grande</v>
      </c>
      <c r="K989" s="50" t="s">
        <v>287</v>
      </c>
      <c r="L989" s="50" t="s">
        <v>288</v>
      </c>
      <c r="M989" s="50" t="s">
        <v>2423</v>
      </c>
      <c r="N989" s="50" t="s">
        <v>129</v>
      </c>
      <c r="O989" s="50" t="s">
        <v>2424</v>
      </c>
      <c r="P989" s="50" t="s">
        <v>2425</v>
      </c>
    </row>
    <row r="990" ht="13.5" customHeight="1">
      <c r="B990" s="54"/>
      <c r="C990" s="38"/>
      <c r="D990" s="55"/>
      <c r="E990" s="56"/>
      <c r="F990" s="55"/>
      <c r="G990" s="55"/>
      <c r="H990" s="56"/>
      <c r="J990" s="57" t="str">
        <f t="shared" si="1"/>
        <v>TrujilloBolívarCheregue</v>
      </c>
      <c r="K990" s="50" t="s">
        <v>287</v>
      </c>
      <c r="L990" s="50" t="s">
        <v>288</v>
      </c>
      <c r="M990" s="50" t="s">
        <v>2423</v>
      </c>
      <c r="N990" s="50" t="s">
        <v>129</v>
      </c>
      <c r="O990" s="50" t="s">
        <v>2426</v>
      </c>
      <c r="P990" s="50" t="s">
        <v>2427</v>
      </c>
    </row>
    <row r="991" ht="13.5" customHeight="1">
      <c r="B991" s="54"/>
      <c r="C991" s="38"/>
      <c r="D991" s="55"/>
      <c r="E991" s="56"/>
      <c r="F991" s="55"/>
      <c r="G991" s="55"/>
      <c r="H991" s="56"/>
      <c r="J991" s="57" t="str">
        <f t="shared" si="1"/>
        <v>TrujilloBolívarGranados</v>
      </c>
      <c r="K991" s="50" t="s">
        <v>287</v>
      </c>
      <c r="L991" s="50" t="s">
        <v>288</v>
      </c>
      <c r="M991" s="50" t="s">
        <v>2423</v>
      </c>
      <c r="N991" s="50" t="s">
        <v>129</v>
      </c>
      <c r="O991" s="50" t="s">
        <v>2428</v>
      </c>
      <c r="P991" s="50" t="s">
        <v>2429</v>
      </c>
    </row>
    <row r="992" ht="13.5" customHeight="1">
      <c r="B992" s="54"/>
      <c r="C992" s="38"/>
      <c r="D992" s="55"/>
      <c r="E992" s="56"/>
      <c r="F992" s="55"/>
      <c r="G992" s="55"/>
      <c r="H992" s="56"/>
      <c r="J992" s="57" t="str">
        <f t="shared" si="1"/>
        <v>TrujilloCandelariaChejende</v>
      </c>
      <c r="K992" s="50" t="s">
        <v>287</v>
      </c>
      <c r="L992" s="50" t="s">
        <v>288</v>
      </c>
      <c r="M992" s="50" t="s">
        <v>2430</v>
      </c>
      <c r="N992" s="50" t="s">
        <v>71</v>
      </c>
      <c r="O992" s="50" t="s">
        <v>2431</v>
      </c>
      <c r="P992" s="50" t="s">
        <v>2432</v>
      </c>
    </row>
    <row r="993" ht="13.5" customHeight="1">
      <c r="B993" s="54"/>
      <c r="C993" s="38"/>
      <c r="D993" s="55"/>
      <c r="E993" s="56"/>
      <c r="F993" s="55"/>
      <c r="G993" s="55"/>
      <c r="H993" s="56"/>
      <c r="J993" s="57" t="str">
        <f t="shared" si="1"/>
        <v>TrujilloCandelariaArnoldo Gabaldon</v>
      </c>
      <c r="K993" s="50" t="s">
        <v>287</v>
      </c>
      <c r="L993" s="50" t="s">
        <v>288</v>
      </c>
      <c r="M993" s="50" t="s">
        <v>2430</v>
      </c>
      <c r="N993" s="50" t="s">
        <v>71</v>
      </c>
      <c r="O993" s="50" t="s">
        <v>2433</v>
      </c>
      <c r="P993" s="50" t="s">
        <v>2434</v>
      </c>
    </row>
    <row r="994" ht="13.5" customHeight="1">
      <c r="B994" s="54"/>
      <c r="C994" s="38"/>
      <c r="D994" s="55"/>
      <c r="E994" s="56"/>
      <c r="F994" s="55"/>
      <c r="G994" s="55"/>
      <c r="H994" s="56"/>
      <c r="J994" s="57" t="str">
        <f t="shared" si="1"/>
        <v>TrujilloCandelariaBolivia</v>
      </c>
      <c r="K994" s="50" t="s">
        <v>287</v>
      </c>
      <c r="L994" s="50" t="s">
        <v>288</v>
      </c>
      <c r="M994" s="50" t="s">
        <v>2430</v>
      </c>
      <c r="N994" s="50" t="s">
        <v>71</v>
      </c>
      <c r="O994" s="50" t="s">
        <v>2435</v>
      </c>
      <c r="P994" s="50" t="s">
        <v>2436</v>
      </c>
    </row>
    <row r="995" ht="13.5" customHeight="1">
      <c r="B995" s="54"/>
      <c r="C995" s="38"/>
      <c r="D995" s="55"/>
      <c r="E995" s="56"/>
      <c r="F995" s="55"/>
      <c r="G995" s="55"/>
      <c r="H995" s="56"/>
      <c r="J995" s="57" t="str">
        <f t="shared" si="1"/>
        <v>TrujilloCandelariaCarrillo</v>
      </c>
      <c r="K995" s="50" t="s">
        <v>287</v>
      </c>
      <c r="L995" s="50" t="s">
        <v>288</v>
      </c>
      <c r="M995" s="50" t="s">
        <v>2430</v>
      </c>
      <c r="N995" s="50" t="s">
        <v>71</v>
      </c>
      <c r="O995" s="50" t="s">
        <v>2437</v>
      </c>
      <c r="P995" s="50" t="s">
        <v>2438</v>
      </c>
    </row>
    <row r="996" ht="13.5" customHeight="1">
      <c r="B996" s="54"/>
      <c r="C996" s="38"/>
      <c r="D996" s="55"/>
      <c r="E996" s="56"/>
      <c r="F996" s="55"/>
      <c r="G996" s="55"/>
      <c r="H996" s="56"/>
      <c r="J996" s="57" t="str">
        <f t="shared" si="1"/>
        <v>TrujilloCandelariaCegarra</v>
      </c>
      <c r="K996" s="50" t="s">
        <v>287</v>
      </c>
      <c r="L996" s="50" t="s">
        <v>288</v>
      </c>
      <c r="M996" s="50" t="s">
        <v>2430</v>
      </c>
      <c r="N996" s="50" t="s">
        <v>71</v>
      </c>
      <c r="O996" s="50" t="s">
        <v>2439</v>
      </c>
      <c r="P996" s="50" t="s">
        <v>2440</v>
      </c>
    </row>
    <row r="997" ht="13.5" customHeight="1">
      <c r="B997" s="54"/>
      <c r="C997" s="38"/>
      <c r="D997" s="55"/>
      <c r="E997" s="56"/>
      <c r="F997" s="55"/>
      <c r="G997" s="55"/>
      <c r="H997" s="56"/>
      <c r="J997" s="57" t="str">
        <f t="shared" si="1"/>
        <v>TrujilloCandelariaManuel Salvador Ulloa</v>
      </c>
      <c r="K997" s="50" t="s">
        <v>287</v>
      </c>
      <c r="L997" s="50" t="s">
        <v>288</v>
      </c>
      <c r="M997" s="50" t="s">
        <v>2430</v>
      </c>
      <c r="N997" s="50" t="s">
        <v>71</v>
      </c>
      <c r="O997" s="50" t="s">
        <v>2441</v>
      </c>
      <c r="P997" s="50" t="s">
        <v>2442</v>
      </c>
    </row>
    <row r="998" ht="13.5" customHeight="1">
      <c r="B998" s="54"/>
      <c r="C998" s="38"/>
      <c r="D998" s="55"/>
      <c r="E998" s="56"/>
      <c r="F998" s="55"/>
      <c r="G998" s="55"/>
      <c r="H998" s="56"/>
      <c r="J998" s="57" t="str">
        <f t="shared" si="1"/>
        <v>TrujilloCandelariaSan José</v>
      </c>
      <c r="K998" s="50" t="s">
        <v>287</v>
      </c>
      <c r="L998" s="50" t="s">
        <v>288</v>
      </c>
      <c r="M998" s="50" t="s">
        <v>2430</v>
      </c>
      <c r="N998" s="50" t="s">
        <v>71</v>
      </c>
      <c r="O998" s="50" t="s">
        <v>2443</v>
      </c>
      <c r="P998" s="50" t="s">
        <v>247</v>
      </c>
    </row>
    <row r="999" ht="13.5" customHeight="1">
      <c r="B999" s="54"/>
      <c r="C999" s="38"/>
      <c r="D999" s="55"/>
      <c r="E999" s="56"/>
      <c r="F999" s="55"/>
      <c r="G999" s="55"/>
      <c r="H999" s="56"/>
      <c r="J999" s="57" t="str">
        <f t="shared" si="1"/>
        <v>TrujilloCaracheCarache</v>
      </c>
      <c r="K999" s="50" t="s">
        <v>287</v>
      </c>
      <c r="L999" s="50" t="s">
        <v>288</v>
      </c>
      <c r="M999" s="50" t="s">
        <v>2444</v>
      </c>
      <c r="N999" s="50" t="s">
        <v>504</v>
      </c>
      <c r="O999" s="50" t="s">
        <v>2445</v>
      </c>
      <c r="P999" s="50" t="s">
        <v>504</v>
      </c>
    </row>
    <row r="1000" ht="13.5" customHeight="1">
      <c r="B1000" s="54"/>
      <c r="C1000" s="38"/>
      <c r="D1000" s="55"/>
      <c r="E1000" s="56"/>
      <c r="F1000" s="55"/>
      <c r="G1000" s="55"/>
      <c r="H1000" s="56"/>
      <c r="J1000" s="57" t="str">
        <f t="shared" si="1"/>
        <v>TrujilloCaracheCuicas</v>
      </c>
      <c r="K1000" s="50" t="s">
        <v>287</v>
      </c>
      <c r="L1000" s="50" t="s">
        <v>288</v>
      </c>
      <c r="M1000" s="50" t="s">
        <v>2444</v>
      </c>
      <c r="N1000" s="50" t="s">
        <v>504</v>
      </c>
      <c r="O1000" s="50" t="s">
        <v>2446</v>
      </c>
      <c r="P1000" s="50" t="s">
        <v>2447</v>
      </c>
    </row>
    <row r="1001" ht="13.5" customHeight="1">
      <c r="B1001" s="54"/>
      <c r="C1001" s="38"/>
      <c r="D1001" s="55"/>
      <c r="E1001" s="56"/>
      <c r="F1001" s="55"/>
      <c r="G1001" s="55"/>
      <c r="H1001" s="56"/>
      <c r="J1001" s="57" t="str">
        <f t="shared" si="1"/>
        <v>TrujilloCaracheLa Concepción</v>
      </c>
      <c r="K1001" s="50" t="s">
        <v>287</v>
      </c>
      <c r="L1001" s="50" t="s">
        <v>288</v>
      </c>
      <c r="M1001" s="50" t="s">
        <v>2444</v>
      </c>
      <c r="N1001" s="50" t="s">
        <v>504</v>
      </c>
      <c r="O1001" s="50" t="s">
        <v>2448</v>
      </c>
      <c r="P1001" s="50" t="s">
        <v>2449</v>
      </c>
    </row>
    <row r="1002" ht="13.5" customHeight="1">
      <c r="B1002" s="54"/>
      <c r="C1002" s="38"/>
      <c r="D1002" s="55"/>
      <c r="E1002" s="56"/>
      <c r="F1002" s="55"/>
      <c r="G1002" s="55"/>
      <c r="H1002" s="56"/>
      <c r="J1002" s="57" t="str">
        <f t="shared" si="1"/>
        <v>TrujilloCarachePanamericana</v>
      </c>
      <c r="K1002" s="50" t="s">
        <v>287</v>
      </c>
      <c r="L1002" s="50" t="s">
        <v>288</v>
      </c>
      <c r="M1002" s="50" t="s">
        <v>2444</v>
      </c>
      <c r="N1002" s="50" t="s">
        <v>504</v>
      </c>
      <c r="O1002" s="50" t="s">
        <v>2450</v>
      </c>
      <c r="P1002" s="50" t="s">
        <v>2451</v>
      </c>
    </row>
    <row r="1003" ht="13.5" customHeight="1">
      <c r="B1003" s="54"/>
      <c r="C1003" s="38"/>
      <c r="D1003" s="55"/>
      <c r="E1003" s="56"/>
      <c r="F1003" s="55"/>
      <c r="G1003" s="55"/>
      <c r="H1003" s="56"/>
      <c r="J1003" s="57" t="str">
        <f t="shared" si="1"/>
        <v>TrujilloCaracheSanta Cruz</v>
      </c>
      <c r="K1003" s="50" t="s">
        <v>287</v>
      </c>
      <c r="L1003" s="50" t="s">
        <v>288</v>
      </c>
      <c r="M1003" s="50" t="s">
        <v>2444</v>
      </c>
      <c r="N1003" s="50" t="s">
        <v>504</v>
      </c>
      <c r="O1003" s="50" t="s">
        <v>2452</v>
      </c>
      <c r="P1003" s="50" t="s">
        <v>1947</v>
      </c>
    </row>
    <row r="1004" ht="13.5" customHeight="1">
      <c r="B1004" s="54"/>
      <c r="C1004" s="38"/>
      <c r="D1004" s="55"/>
      <c r="E1004" s="56"/>
      <c r="F1004" s="55"/>
      <c r="G1004" s="55"/>
      <c r="H1004" s="56"/>
      <c r="J1004" s="57" t="str">
        <f t="shared" si="1"/>
        <v>TrujilloEscuqueEscuque</v>
      </c>
      <c r="K1004" s="50" t="s">
        <v>287</v>
      </c>
      <c r="L1004" s="50" t="s">
        <v>288</v>
      </c>
      <c r="M1004" s="50" t="s">
        <v>2453</v>
      </c>
      <c r="N1004" s="50" t="s">
        <v>514</v>
      </c>
      <c r="O1004" s="50" t="s">
        <v>2454</v>
      </c>
      <c r="P1004" s="50" t="s">
        <v>514</v>
      </c>
    </row>
    <row r="1005" ht="13.5" customHeight="1">
      <c r="B1005" s="54"/>
      <c r="C1005" s="38"/>
      <c r="D1005" s="55"/>
      <c r="E1005" s="56"/>
      <c r="F1005" s="55"/>
      <c r="G1005" s="55"/>
      <c r="H1005" s="56"/>
      <c r="J1005" s="57" t="str">
        <f t="shared" si="1"/>
        <v>TrujilloEscuqueLa Unión</v>
      </c>
      <c r="K1005" s="50" t="s">
        <v>287</v>
      </c>
      <c r="L1005" s="50" t="s">
        <v>288</v>
      </c>
      <c r="M1005" s="50" t="s">
        <v>2453</v>
      </c>
      <c r="N1005" s="50" t="s">
        <v>514</v>
      </c>
      <c r="O1005" s="50" t="s">
        <v>2455</v>
      </c>
      <c r="P1005" s="50" t="s">
        <v>825</v>
      </c>
    </row>
    <row r="1006" ht="13.5" customHeight="1">
      <c r="B1006" s="54"/>
      <c r="C1006" s="38"/>
      <c r="D1006" s="55"/>
      <c r="E1006" s="56"/>
      <c r="F1006" s="55"/>
      <c r="G1006" s="55"/>
      <c r="H1006" s="56"/>
      <c r="J1006" s="57" t="str">
        <f t="shared" si="1"/>
        <v>TrujilloEscuqueSabana Libre</v>
      </c>
      <c r="K1006" s="50" t="s">
        <v>287</v>
      </c>
      <c r="L1006" s="50" t="s">
        <v>288</v>
      </c>
      <c r="M1006" s="50" t="s">
        <v>2453</v>
      </c>
      <c r="N1006" s="50" t="s">
        <v>514</v>
      </c>
      <c r="O1006" s="50" t="s">
        <v>2456</v>
      </c>
      <c r="P1006" s="50" t="s">
        <v>2457</v>
      </c>
    </row>
    <row r="1007" ht="13.5" customHeight="1">
      <c r="B1007" s="54"/>
      <c r="C1007" s="38"/>
      <c r="D1007" s="55"/>
      <c r="E1007" s="56"/>
      <c r="F1007" s="55"/>
      <c r="G1007" s="55"/>
      <c r="H1007" s="56"/>
      <c r="J1007" s="57" t="str">
        <f t="shared" si="1"/>
        <v>TrujilloEscuqueSanta Rita</v>
      </c>
      <c r="K1007" s="50" t="s">
        <v>287</v>
      </c>
      <c r="L1007" s="50" t="s">
        <v>288</v>
      </c>
      <c r="M1007" s="50" t="s">
        <v>2453</v>
      </c>
      <c r="N1007" s="50" t="s">
        <v>514</v>
      </c>
      <c r="O1007" s="50" t="s">
        <v>2458</v>
      </c>
      <c r="P1007" s="50" t="s">
        <v>2459</v>
      </c>
    </row>
    <row r="1008" ht="13.5" customHeight="1">
      <c r="B1008" s="54"/>
      <c r="C1008" s="38"/>
      <c r="D1008" s="55"/>
      <c r="E1008" s="56"/>
      <c r="F1008" s="55"/>
      <c r="G1008" s="55"/>
      <c r="H1008" s="56"/>
      <c r="J1008" s="57" t="str">
        <f t="shared" si="1"/>
        <v>TrujilloJosé Felipe Márquez CañizalesEl Socorro</v>
      </c>
      <c r="K1008" s="50" t="s">
        <v>287</v>
      </c>
      <c r="L1008" s="50" t="s">
        <v>288</v>
      </c>
      <c r="M1008" s="50" t="s">
        <v>2460</v>
      </c>
      <c r="N1008" s="50" t="s">
        <v>523</v>
      </c>
      <c r="O1008" s="50" t="s">
        <v>2461</v>
      </c>
      <c r="P1008" s="50" t="s">
        <v>484</v>
      </c>
    </row>
    <row r="1009" ht="13.5" customHeight="1">
      <c r="B1009" s="54"/>
      <c r="C1009" s="38"/>
      <c r="D1009" s="55"/>
      <c r="E1009" s="56"/>
      <c r="F1009" s="55"/>
      <c r="G1009" s="55"/>
      <c r="H1009" s="56"/>
      <c r="J1009" s="57" t="str">
        <f t="shared" si="1"/>
        <v>TrujilloJosé Felipe Márquez CañizalesAntonio José De Sucre</v>
      </c>
      <c r="K1009" s="50" t="s">
        <v>287</v>
      </c>
      <c r="L1009" s="50" t="s">
        <v>288</v>
      </c>
      <c r="M1009" s="50" t="s">
        <v>2460</v>
      </c>
      <c r="N1009" s="50" t="s">
        <v>523</v>
      </c>
      <c r="O1009" s="50" t="s">
        <v>2462</v>
      </c>
      <c r="P1009" s="50" t="s">
        <v>470</v>
      </c>
    </row>
    <row r="1010" ht="13.5" customHeight="1">
      <c r="B1010" s="54"/>
      <c r="C1010" s="38"/>
      <c r="D1010" s="55"/>
      <c r="E1010" s="56"/>
      <c r="F1010" s="55"/>
      <c r="G1010" s="55"/>
      <c r="H1010" s="56"/>
      <c r="J1010" s="57" t="str">
        <f t="shared" si="1"/>
        <v>TrujilloJosé Felipe Márquez CañizalesLos Caprichos</v>
      </c>
      <c r="K1010" s="50" t="s">
        <v>287</v>
      </c>
      <c r="L1010" s="50" t="s">
        <v>288</v>
      </c>
      <c r="M1010" s="50" t="s">
        <v>2460</v>
      </c>
      <c r="N1010" s="50" t="s">
        <v>523</v>
      </c>
      <c r="O1010" s="50" t="s">
        <v>2463</v>
      </c>
      <c r="P1010" s="50" t="s">
        <v>2464</v>
      </c>
    </row>
    <row r="1011" ht="13.5" customHeight="1">
      <c r="B1011" s="54"/>
      <c r="C1011" s="38"/>
      <c r="D1011" s="55"/>
      <c r="E1011" s="56"/>
      <c r="F1011" s="55"/>
      <c r="G1011" s="55"/>
      <c r="H1011" s="56"/>
      <c r="J1011" s="57" t="str">
        <f t="shared" si="1"/>
        <v>TrujilloJuan Vicente Campo ElíasCampo Elías</v>
      </c>
      <c r="K1011" s="50" t="s">
        <v>287</v>
      </c>
      <c r="L1011" s="50" t="s">
        <v>288</v>
      </c>
      <c r="M1011" s="50" t="s">
        <v>2465</v>
      </c>
      <c r="N1011" s="50" t="s">
        <v>531</v>
      </c>
      <c r="O1011" s="50" t="s">
        <v>2466</v>
      </c>
      <c r="P1011" s="50" t="s">
        <v>1609</v>
      </c>
    </row>
    <row r="1012" ht="13.5" customHeight="1">
      <c r="B1012" s="54"/>
      <c r="C1012" s="38"/>
      <c r="D1012" s="55"/>
      <c r="E1012" s="56"/>
      <c r="F1012" s="55"/>
      <c r="G1012" s="55"/>
      <c r="H1012" s="56"/>
      <c r="J1012" s="57" t="str">
        <f t="shared" si="1"/>
        <v>TrujilloJuan Vicente Campo ElíasArnoldo Gabaldon</v>
      </c>
      <c r="K1012" s="50" t="s">
        <v>287</v>
      </c>
      <c r="L1012" s="50" t="s">
        <v>288</v>
      </c>
      <c r="M1012" s="50" t="s">
        <v>2465</v>
      </c>
      <c r="N1012" s="50" t="s">
        <v>531</v>
      </c>
      <c r="O1012" s="50" t="s">
        <v>2467</v>
      </c>
      <c r="P1012" s="50" t="s">
        <v>2434</v>
      </c>
    </row>
    <row r="1013" ht="13.5" customHeight="1">
      <c r="B1013" s="54"/>
      <c r="C1013" s="38"/>
      <c r="D1013" s="55"/>
      <c r="E1013" s="56"/>
      <c r="F1013" s="55"/>
      <c r="G1013" s="55"/>
      <c r="H1013" s="56"/>
      <c r="J1013" s="57" t="str">
        <f t="shared" si="1"/>
        <v>TrujilloLa CeibaSanta Apolonia</v>
      </c>
      <c r="K1013" s="50" t="s">
        <v>287</v>
      </c>
      <c r="L1013" s="50" t="s">
        <v>288</v>
      </c>
      <c r="M1013" s="50" t="s">
        <v>2468</v>
      </c>
      <c r="N1013" s="50" t="s">
        <v>540</v>
      </c>
      <c r="O1013" s="50" t="s">
        <v>2469</v>
      </c>
      <c r="P1013" s="50" t="s">
        <v>1750</v>
      </c>
    </row>
    <row r="1014" ht="13.5" customHeight="1">
      <c r="B1014" s="54"/>
      <c r="C1014" s="38"/>
      <c r="D1014" s="55"/>
      <c r="E1014" s="56"/>
      <c r="F1014" s="55"/>
      <c r="G1014" s="55"/>
      <c r="H1014" s="56"/>
      <c r="J1014" s="57" t="str">
        <f t="shared" si="1"/>
        <v>TrujilloLa CeibaEl Progreso</v>
      </c>
      <c r="K1014" s="50" t="s">
        <v>287</v>
      </c>
      <c r="L1014" s="50" t="s">
        <v>288</v>
      </c>
      <c r="M1014" s="50" t="s">
        <v>2468</v>
      </c>
      <c r="N1014" s="50" t="s">
        <v>540</v>
      </c>
      <c r="O1014" s="50" t="s">
        <v>2470</v>
      </c>
      <c r="P1014" s="50" t="s">
        <v>2471</v>
      </c>
    </row>
    <row r="1015" ht="13.5" customHeight="1">
      <c r="B1015" s="54"/>
      <c r="C1015" s="38"/>
      <c r="D1015" s="55"/>
      <c r="E1015" s="56"/>
      <c r="F1015" s="55"/>
      <c r="G1015" s="55"/>
      <c r="H1015" s="56"/>
      <c r="J1015" s="57" t="str">
        <f t="shared" si="1"/>
        <v>TrujilloLa CeibaLa Ceiba</v>
      </c>
      <c r="K1015" s="50" t="s">
        <v>287</v>
      </c>
      <c r="L1015" s="50" t="s">
        <v>288</v>
      </c>
      <c r="M1015" s="50" t="s">
        <v>2468</v>
      </c>
      <c r="N1015" s="50" t="s">
        <v>540</v>
      </c>
      <c r="O1015" s="50" t="s">
        <v>2472</v>
      </c>
      <c r="P1015" s="50" t="s">
        <v>540</v>
      </c>
    </row>
    <row r="1016" ht="13.5" customHeight="1">
      <c r="B1016" s="54"/>
      <c r="C1016" s="38"/>
      <c r="D1016" s="55"/>
      <c r="E1016" s="56"/>
      <c r="F1016" s="55"/>
      <c r="G1016" s="55"/>
      <c r="H1016" s="56"/>
      <c r="J1016" s="57" t="str">
        <f t="shared" si="1"/>
        <v>TrujilloLa CeibaTres De Febrero</v>
      </c>
      <c r="K1016" s="50" t="s">
        <v>287</v>
      </c>
      <c r="L1016" s="50" t="s">
        <v>288</v>
      </c>
      <c r="M1016" s="50" t="s">
        <v>2468</v>
      </c>
      <c r="N1016" s="50" t="s">
        <v>540</v>
      </c>
      <c r="O1016" s="50" t="s">
        <v>2473</v>
      </c>
      <c r="P1016" s="50" t="s">
        <v>2474</v>
      </c>
    </row>
    <row r="1017" ht="13.5" customHeight="1">
      <c r="B1017" s="54"/>
      <c r="C1017" s="38"/>
      <c r="D1017" s="55"/>
      <c r="E1017" s="56"/>
      <c r="F1017" s="55"/>
      <c r="G1017" s="55"/>
      <c r="H1017" s="56"/>
      <c r="J1017" s="57" t="str">
        <f t="shared" si="1"/>
        <v>TrujilloMirandaEl Dividive</v>
      </c>
      <c r="K1017" s="50" t="s">
        <v>287</v>
      </c>
      <c r="L1017" s="50" t="s">
        <v>288</v>
      </c>
      <c r="M1017" s="50" t="s">
        <v>2475</v>
      </c>
      <c r="N1017" s="50" t="s">
        <v>232</v>
      </c>
      <c r="O1017" s="50" t="s">
        <v>2476</v>
      </c>
      <c r="P1017" s="50" t="s">
        <v>2477</v>
      </c>
    </row>
    <row r="1018" ht="13.5" customHeight="1">
      <c r="B1018" s="54"/>
      <c r="C1018" s="38"/>
      <c r="D1018" s="55"/>
      <c r="E1018" s="56"/>
      <c r="F1018" s="55"/>
      <c r="G1018" s="55"/>
      <c r="H1018" s="56"/>
      <c r="J1018" s="57" t="str">
        <f t="shared" si="1"/>
        <v>TrujilloMirandaAgua Santa</v>
      </c>
      <c r="K1018" s="50" t="s">
        <v>287</v>
      </c>
      <c r="L1018" s="50" t="s">
        <v>288</v>
      </c>
      <c r="M1018" s="50" t="s">
        <v>2475</v>
      </c>
      <c r="N1018" s="50" t="s">
        <v>232</v>
      </c>
      <c r="O1018" s="50" t="s">
        <v>2478</v>
      </c>
      <c r="P1018" s="50" t="s">
        <v>2479</v>
      </c>
    </row>
    <row r="1019" ht="13.5" customHeight="1">
      <c r="B1019" s="54"/>
      <c r="C1019" s="38"/>
      <c r="D1019" s="55"/>
      <c r="E1019" s="56"/>
      <c r="F1019" s="55"/>
      <c r="G1019" s="55"/>
      <c r="H1019" s="56"/>
      <c r="J1019" s="57" t="str">
        <f t="shared" si="1"/>
        <v>TrujilloMirandaAgua Caliente</v>
      </c>
      <c r="K1019" s="50" t="s">
        <v>287</v>
      </c>
      <c r="L1019" s="50" t="s">
        <v>288</v>
      </c>
      <c r="M1019" s="50" t="s">
        <v>2475</v>
      </c>
      <c r="N1019" s="50" t="s">
        <v>232</v>
      </c>
      <c r="O1019" s="50" t="s">
        <v>2480</v>
      </c>
      <c r="P1019" s="50" t="s">
        <v>2481</v>
      </c>
    </row>
    <row r="1020" ht="13.5" customHeight="1">
      <c r="B1020" s="54"/>
      <c r="C1020" s="38"/>
      <c r="D1020" s="55"/>
      <c r="E1020" s="56"/>
      <c r="F1020" s="55"/>
      <c r="G1020" s="55"/>
      <c r="H1020" s="56"/>
      <c r="J1020" s="57" t="str">
        <f t="shared" si="1"/>
        <v>TrujilloMirandaEl Cenizo</v>
      </c>
      <c r="K1020" s="50" t="s">
        <v>287</v>
      </c>
      <c r="L1020" s="50" t="s">
        <v>288</v>
      </c>
      <c r="M1020" s="50" t="s">
        <v>2475</v>
      </c>
      <c r="N1020" s="50" t="s">
        <v>232</v>
      </c>
      <c r="O1020" s="50" t="s">
        <v>2482</v>
      </c>
      <c r="P1020" s="50" t="s">
        <v>2483</v>
      </c>
    </row>
    <row r="1021" ht="13.5" customHeight="1">
      <c r="B1021" s="54"/>
      <c r="C1021" s="38"/>
      <c r="D1021" s="55"/>
      <c r="E1021" s="56"/>
      <c r="F1021" s="55"/>
      <c r="G1021" s="55"/>
      <c r="H1021" s="56"/>
      <c r="J1021" s="57" t="str">
        <f t="shared" si="1"/>
        <v>TrujilloMirandaValerita</v>
      </c>
      <c r="K1021" s="50" t="s">
        <v>287</v>
      </c>
      <c r="L1021" s="50" t="s">
        <v>288</v>
      </c>
      <c r="M1021" s="50" t="s">
        <v>2475</v>
      </c>
      <c r="N1021" s="50" t="s">
        <v>232</v>
      </c>
      <c r="O1021" s="50" t="s">
        <v>2484</v>
      </c>
      <c r="P1021" s="50" t="s">
        <v>2485</v>
      </c>
    </row>
    <row r="1022" ht="13.5" customHeight="1">
      <c r="B1022" s="54"/>
      <c r="C1022" s="38"/>
      <c r="D1022" s="55"/>
      <c r="E1022" s="56"/>
      <c r="F1022" s="55"/>
      <c r="G1022" s="55"/>
      <c r="H1022" s="56"/>
      <c r="J1022" s="57" t="str">
        <f t="shared" si="1"/>
        <v>TrujilloMonte CarmeloMonte Carmelo</v>
      </c>
      <c r="K1022" s="50" t="s">
        <v>287</v>
      </c>
      <c r="L1022" s="50" t="s">
        <v>288</v>
      </c>
      <c r="M1022" s="50" t="s">
        <v>2486</v>
      </c>
      <c r="N1022" s="50" t="s">
        <v>555</v>
      </c>
      <c r="O1022" s="50" t="s">
        <v>2487</v>
      </c>
      <c r="P1022" s="50" t="s">
        <v>555</v>
      </c>
    </row>
    <row r="1023" ht="13.5" customHeight="1">
      <c r="B1023" s="54"/>
      <c r="C1023" s="38"/>
      <c r="D1023" s="55"/>
      <c r="E1023" s="56"/>
      <c r="F1023" s="55"/>
      <c r="G1023" s="55"/>
      <c r="H1023" s="56"/>
      <c r="J1023" s="57" t="str">
        <f t="shared" si="1"/>
        <v>TrujilloMonte CarmeloBuena Vista</v>
      </c>
      <c r="K1023" s="50" t="s">
        <v>287</v>
      </c>
      <c r="L1023" s="50" t="s">
        <v>288</v>
      </c>
      <c r="M1023" s="50" t="s">
        <v>2486</v>
      </c>
      <c r="N1023" s="50" t="s">
        <v>555</v>
      </c>
      <c r="O1023" s="50" t="s">
        <v>2488</v>
      </c>
      <c r="P1023" s="50" t="s">
        <v>1250</v>
      </c>
    </row>
    <row r="1024" ht="13.5" customHeight="1">
      <c r="B1024" s="54"/>
      <c r="C1024" s="38"/>
      <c r="D1024" s="55"/>
      <c r="E1024" s="56"/>
      <c r="F1024" s="55"/>
      <c r="G1024" s="55"/>
      <c r="H1024" s="56"/>
      <c r="J1024" s="57" t="str">
        <f t="shared" si="1"/>
        <v>TrujilloMonte CarmeloSanta María Del Horcon</v>
      </c>
      <c r="K1024" s="50" t="s">
        <v>287</v>
      </c>
      <c r="L1024" s="50" t="s">
        <v>288</v>
      </c>
      <c r="M1024" s="50" t="s">
        <v>2486</v>
      </c>
      <c r="N1024" s="50" t="s">
        <v>555</v>
      </c>
      <c r="O1024" s="50" t="s">
        <v>2489</v>
      </c>
      <c r="P1024" s="50" t="s">
        <v>2490</v>
      </c>
    </row>
    <row r="1025" ht="13.5" customHeight="1">
      <c r="B1025" s="54"/>
      <c r="C1025" s="38"/>
      <c r="D1025" s="55"/>
      <c r="E1025" s="56"/>
      <c r="F1025" s="55"/>
      <c r="G1025" s="55"/>
      <c r="H1025" s="56"/>
      <c r="J1025" s="57" t="str">
        <f t="shared" si="1"/>
        <v>TrujilloMotatánMotatan</v>
      </c>
      <c r="K1025" s="50" t="s">
        <v>287</v>
      </c>
      <c r="L1025" s="50" t="s">
        <v>288</v>
      </c>
      <c r="M1025" s="50" t="s">
        <v>2491</v>
      </c>
      <c r="N1025" s="50" t="s">
        <v>560</v>
      </c>
      <c r="O1025" s="50" t="s">
        <v>2492</v>
      </c>
      <c r="P1025" s="50" t="s">
        <v>2493</v>
      </c>
    </row>
    <row r="1026" ht="13.5" customHeight="1">
      <c r="B1026" s="54"/>
      <c r="C1026" s="38"/>
      <c r="D1026" s="55"/>
      <c r="E1026" s="56"/>
      <c r="F1026" s="55"/>
      <c r="G1026" s="55"/>
      <c r="H1026" s="56"/>
      <c r="J1026" s="57" t="str">
        <f t="shared" si="1"/>
        <v>TrujilloMotatánEl Baño</v>
      </c>
      <c r="K1026" s="50" t="s">
        <v>287</v>
      </c>
      <c r="L1026" s="50" t="s">
        <v>288</v>
      </c>
      <c r="M1026" s="50" t="s">
        <v>2491</v>
      </c>
      <c r="N1026" s="50" t="s">
        <v>560</v>
      </c>
      <c r="O1026" s="50" t="s">
        <v>2494</v>
      </c>
      <c r="P1026" s="50" t="s">
        <v>2495</v>
      </c>
    </row>
    <row r="1027" ht="13.5" customHeight="1">
      <c r="B1027" s="54"/>
      <c r="C1027" s="38"/>
      <c r="D1027" s="55"/>
      <c r="E1027" s="56"/>
      <c r="F1027" s="55"/>
      <c r="G1027" s="55"/>
      <c r="H1027" s="56"/>
      <c r="J1027" s="57" t="str">
        <f t="shared" si="1"/>
        <v>TrujilloMotatánJalisco</v>
      </c>
      <c r="K1027" s="50" t="s">
        <v>287</v>
      </c>
      <c r="L1027" s="50" t="s">
        <v>288</v>
      </c>
      <c r="M1027" s="50" t="s">
        <v>2491</v>
      </c>
      <c r="N1027" s="50" t="s">
        <v>560</v>
      </c>
      <c r="O1027" s="50" t="s">
        <v>2496</v>
      </c>
      <c r="P1027" s="50" t="s">
        <v>2497</v>
      </c>
    </row>
    <row r="1028" ht="13.5" customHeight="1">
      <c r="B1028" s="54"/>
      <c r="C1028" s="38"/>
      <c r="D1028" s="55"/>
      <c r="E1028" s="56"/>
      <c r="F1028" s="55"/>
      <c r="G1028" s="55"/>
      <c r="H1028" s="56"/>
      <c r="J1028" s="57" t="str">
        <f t="shared" si="1"/>
        <v>TrujilloPampánPampan</v>
      </c>
      <c r="K1028" s="50" t="s">
        <v>287</v>
      </c>
      <c r="L1028" s="50" t="s">
        <v>288</v>
      </c>
      <c r="M1028" s="50" t="s">
        <v>2498</v>
      </c>
      <c r="N1028" s="50" t="s">
        <v>565</v>
      </c>
      <c r="O1028" s="50" t="s">
        <v>2499</v>
      </c>
      <c r="P1028" s="50" t="s">
        <v>2500</v>
      </c>
    </row>
    <row r="1029" ht="13.5" customHeight="1">
      <c r="B1029" s="54"/>
      <c r="C1029" s="38"/>
      <c r="D1029" s="55"/>
      <c r="E1029" s="56"/>
      <c r="F1029" s="55"/>
      <c r="G1029" s="55"/>
      <c r="H1029" s="56"/>
      <c r="J1029" s="57" t="str">
        <f t="shared" si="1"/>
        <v>TrujilloPampánFlor De Patria</v>
      </c>
      <c r="K1029" s="50" t="s">
        <v>287</v>
      </c>
      <c r="L1029" s="50" t="s">
        <v>288</v>
      </c>
      <c r="M1029" s="50" t="s">
        <v>2498</v>
      </c>
      <c r="N1029" s="50" t="s">
        <v>565</v>
      </c>
      <c r="O1029" s="50" t="s">
        <v>2501</v>
      </c>
      <c r="P1029" s="50" t="s">
        <v>2502</v>
      </c>
    </row>
    <row r="1030" ht="13.5" customHeight="1">
      <c r="B1030" s="54"/>
      <c r="C1030" s="38"/>
      <c r="D1030" s="55"/>
      <c r="E1030" s="56"/>
      <c r="F1030" s="55"/>
      <c r="G1030" s="55"/>
      <c r="H1030" s="56"/>
      <c r="J1030" s="57" t="str">
        <f t="shared" si="1"/>
        <v>TrujilloPampánLa Paz</v>
      </c>
      <c r="K1030" s="50" t="s">
        <v>287</v>
      </c>
      <c r="L1030" s="50" t="s">
        <v>288</v>
      </c>
      <c r="M1030" s="50" t="s">
        <v>2498</v>
      </c>
      <c r="N1030" s="50" t="s">
        <v>565</v>
      </c>
      <c r="O1030" s="50" t="s">
        <v>2503</v>
      </c>
      <c r="P1030" s="50" t="s">
        <v>2504</v>
      </c>
    </row>
    <row r="1031" ht="13.5" customHeight="1">
      <c r="B1031" s="54"/>
      <c r="C1031" s="38"/>
      <c r="D1031" s="55"/>
      <c r="E1031" s="56"/>
      <c r="F1031" s="55"/>
      <c r="G1031" s="55"/>
      <c r="H1031" s="56"/>
      <c r="J1031" s="57" t="str">
        <f t="shared" si="1"/>
        <v>TrujilloPampánSanta Ana</v>
      </c>
      <c r="K1031" s="50" t="s">
        <v>287</v>
      </c>
      <c r="L1031" s="50" t="s">
        <v>288</v>
      </c>
      <c r="M1031" s="50" t="s">
        <v>2498</v>
      </c>
      <c r="N1031" s="50" t="s">
        <v>565</v>
      </c>
      <c r="O1031" s="50" t="s">
        <v>2505</v>
      </c>
      <c r="P1031" s="50" t="s">
        <v>318</v>
      </c>
    </row>
    <row r="1032" ht="13.5" customHeight="1">
      <c r="B1032" s="54"/>
      <c r="C1032" s="38"/>
      <c r="D1032" s="55"/>
      <c r="E1032" s="56"/>
      <c r="F1032" s="55"/>
      <c r="G1032" s="55"/>
      <c r="H1032" s="56"/>
      <c r="J1032" s="57" t="str">
        <f t="shared" si="1"/>
        <v>TrujilloPampanitoPampanito</v>
      </c>
      <c r="K1032" s="50" t="s">
        <v>287</v>
      </c>
      <c r="L1032" s="50" t="s">
        <v>288</v>
      </c>
      <c r="M1032" s="50" t="s">
        <v>2506</v>
      </c>
      <c r="N1032" s="50" t="s">
        <v>570</v>
      </c>
      <c r="O1032" s="50" t="s">
        <v>2507</v>
      </c>
      <c r="P1032" s="50" t="s">
        <v>570</v>
      </c>
    </row>
    <row r="1033" ht="13.5" customHeight="1">
      <c r="B1033" s="54"/>
      <c r="C1033" s="38"/>
      <c r="D1033" s="55"/>
      <c r="E1033" s="56"/>
      <c r="F1033" s="55"/>
      <c r="G1033" s="55"/>
      <c r="H1033" s="56"/>
      <c r="J1033" s="57" t="str">
        <f t="shared" si="1"/>
        <v>TrujilloPampanitoLa Concepción</v>
      </c>
      <c r="K1033" s="50" t="s">
        <v>287</v>
      </c>
      <c r="L1033" s="50" t="s">
        <v>288</v>
      </c>
      <c r="M1033" s="50" t="s">
        <v>2506</v>
      </c>
      <c r="N1033" s="50" t="s">
        <v>570</v>
      </c>
      <c r="O1033" s="50" t="s">
        <v>2508</v>
      </c>
      <c r="P1033" s="50" t="s">
        <v>2449</v>
      </c>
    </row>
    <row r="1034" ht="13.5" customHeight="1">
      <c r="B1034" s="54"/>
      <c r="C1034" s="38"/>
      <c r="D1034" s="55"/>
      <c r="E1034" s="56"/>
      <c r="F1034" s="55"/>
      <c r="G1034" s="55"/>
      <c r="H1034" s="56"/>
      <c r="J1034" s="57" t="str">
        <f t="shared" si="1"/>
        <v>TrujilloPampanitoPampanito Ii</v>
      </c>
      <c r="K1034" s="50" t="s">
        <v>287</v>
      </c>
      <c r="L1034" s="50" t="s">
        <v>288</v>
      </c>
      <c r="M1034" s="50" t="s">
        <v>2506</v>
      </c>
      <c r="N1034" s="50" t="s">
        <v>570</v>
      </c>
      <c r="O1034" s="50" t="s">
        <v>2509</v>
      </c>
      <c r="P1034" s="50" t="s">
        <v>2510</v>
      </c>
    </row>
    <row r="1035" ht="13.5" customHeight="1">
      <c r="B1035" s="54"/>
      <c r="C1035" s="38"/>
      <c r="D1035" s="55"/>
      <c r="E1035" s="56"/>
      <c r="F1035" s="55"/>
      <c r="G1035" s="55"/>
      <c r="H1035" s="56"/>
      <c r="J1035" s="57" t="str">
        <f t="shared" si="1"/>
        <v>TrujilloRafael RangelBetijoque</v>
      </c>
      <c r="K1035" s="50" t="s">
        <v>287</v>
      </c>
      <c r="L1035" s="50" t="s">
        <v>288</v>
      </c>
      <c r="M1035" s="50" t="s">
        <v>2511</v>
      </c>
      <c r="N1035" s="50" t="s">
        <v>573</v>
      </c>
      <c r="O1035" s="50" t="s">
        <v>2512</v>
      </c>
      <c r="P1035" s="50" t="s">
        <v>2513</v>
      </c>
    </row>
    <row r="1036" ht="13.5" customHeight="1">
      <c r="B1036" s="54"/>
      <c r="C1036" s="38"/>
      <c r="D1036" s="55"/>
      <c r="E1036" s="56"/>
      <c r="F1036" s="55"/>
      <c r="G1036" s="55"/>
      <c r="H1036" s="56"/>
      <c r="J1036" s="57" t="str">
        <f t="shared" si="1"/>
        <v>TrujilloRafael RangelLa Pueblita</v>
      </c>
      <c r="K1036" s="50" t="s">
        <v>287</v>
      </c>
      <c r="L1036" s="50" t="s">
        <v>288</v>
      </c>
      <c r="M1036" s="50" t="s">
        <v>2511</v>
      </c>
      <c r="N1036" s="50" t="s">
        <v>573</v>
      </c>
      <c r="O1036" s="50" t="s">
        <v>2514</v>
      </c>
      <c r="P1036" s="50" t="s">
        <v>2515</v>
      </c>
    </row>
    <row r="1037" ht="13.5" customHeight="1">
      <c r="B1037" s="54"/>
      <c r="C1037" s="38"/>
      <c r="D1037" s="55"/>
      <c r="E1037" s="56"/>
      <c r="F1037" s="55"/>
      <c r="G1037" s="55"/>
      <c r="H1037" s="56"/>
      <c r="J1037" s="57" t="str">
        <f t="shared" si="1"/>
        <v>TrujilloRafael RangelLos Cedros</v>
      </c>
      <c r="K1037" s="50" t="s">
        <v>287</v>
      </c>
      <c r="L1037" s="50" t="s">
        <v>288</v>
      </c>
      <c r="M1037" s="50" t="s">
        <v>2511</v>
      </c>
      <c r="N1037" s="50" t="s">
        <v>573</v>
      </c>
      <c r="O1037" s="50" t="s">
        <v>2516</v>
      </c>
      <c r="P1037" s="50" t="s">
        <v>2517</v>
      </c>
    </row>
    <row r="1038" ht="13.5" customHeight="1">
      <c r="B1038" s="54"/>
      <c r="C1038" s="38"/>
      <c r="D1038" s="55"/>
      <c r="E1038" s="56"/>
      <c r="F1038" s="55"/>
      <c r="G1038" s="55"/>
      <c r="H1038" s="56"/>
      <c r="J1038" s="57" t="str">
        <f t="shared" si="1"/>
        <v>TrujilloRafael RangelJosé Gregorio Hernández</v>
      </c>
      <c r="K1038" s="50" t="s">
        <v>287</v>
      </c>
      <c r="L1038" s="50" t="s">
        <v>288</v>
      </c>
      <c r="M1038" s="50" t="s">
        <v>2511</v>
      </c>
      <c r="N1038" s="50" t="s">
        <v>573</v>
      </c>
      <c r="O1038" s="50" t="s">
        <v>2518</v>
      </c>
      <c r="P1038" s="50" t="s">
        <v>2519</v>
      </c>
    </row>
    <row r="1039" ht="13.5" customHeight="1">
      <c r="B1039" s="54"/>
      <c r="C1039" s="38"/>
      <c r="D1039" s="55"/>
      <c r="E1039" s="56"/>
      <c r="F1039" s="55"/>
      <c r="G1039" s="55"/>
      <c r="H1039" s="56"/>
      <c r="J1039" s="57" t="str">
        <f t="shared" si="1"/>
        <v>TrujilloSan Rafael De CarvajalCarvajal</v>
      </c>
      <c r="K1039" s="50" t="s">
        <v>287</v>
      </c>
      <c r="L1039" s="50" t="s">
        <v>288</v>
      </c>
      <c r="M1039" s="50" t="s">
        <v>2520</v>
      </c>
      <c r="N1039" s="50" t="s">
        <v>574</v>
      </c>
      <c r="O1039" s="50" t="s">
        <v>2521</v>
      </c>
      <c r="P1039" s="50" t="s">
        <v>2522</v>
      </c>
    </row>
    <row r="1040" ht="13.5" customHeight="1">
      <c r="B1040" s="54"/>
      <c r="C1040" s="38"/>
      <c r="D1040" s="55"/>
      <c r="E1040" s="56"/>
      <c r="F1040" s="55"/>
      <c r="G1040" s="55"/>
      <c r="H1040" s="56"/>
      <c r="J1040" s="57" t="str">
        <f t="shared" si="1"/>
        <v>TrujilloSan Rafael De CarvajalAntonio Nicolás Briceño</v>
      </c>
      <c r="K1040" s="50" t="s">
        <v>287</v>
      </c>
      <c r="L1040" s="50" t="s">
        <v>288</v>
      </c>
      <c r="M1040" s="50" t="s">
        <v>2520</v>
      </c>
      <c r="N1040" s="50" t="s">
        <v>574</v>
      </c>
      <c r="O1040" s="50" t="s">
        <v>2523</v>
      </c>
      <c r="P1040" s="50" t="s">
        <v>2524</v>
      </c>
    </row>
    <row r="1041" ht="13.5" customHeight="1">
      <c r="B1041" s="54"/>
      <c r="C1041" s="38"/>
      <c r="D1041" s="55"/>
      <c r="E1041" s="56"/>
      <c r="F1041" s="55"/>
      <c r="G1041" s="55"/>
      <c r="H1041" s="56"/>
      <c r="J1041" s="57" t="str">
        <f t="shared" si="1"/>
        <v>TrujilloSan Rafael De CarvajalCampo Alegre</v>
      </c>
      <c r="K1041" s="50" t="s">
        <v>287</v>
      </c>
      <c r="L1041" s="50" t="s">
        <v>288</v>
      </c>
      <c r="M1041" s="50" t="s">
        <v>2520</v>
      </c>
      <c r="N1041" s="50" t="s">
        <v>574</v>
      </c>
      <c r="O1041" s="50" t="s">
        <v>2525</v>
      </c>
      <c r="P1041" s="50" t="s">
        <v>2526</v>
      </c>
    </row>
    <row r="1042" ht="13.5" customHeight="1">
      <c r="B1042" s="54"/>
      <c r="C1042" s="38"/>
      <c r="D1042" s="55"/>
      <c r="E1042" s="56"/>
      <c r="F1042" s="55"/>
      <c r="G1042" s="55"/>
      <c r="H1042" s="56"/>
      <c r="J1042" s="57" t="str">
        <f t="shared" si="1"/>
        <v>TrujilloSan Rafael De CarvajalJosé Leonardo Suarez</v>
      </c>
      <c r="K1042" s="50" t="s">
        <v>287</v>
      </c>
      <c r="L1042" s="50" t="s">
        <v>288</v>
      </c>
      <c r="M1042" s="50" t="s">
        <v>2520</v>
      </c>
      <c r="N1042" s="50" t="s">
        <v>574</v>
      </c>
      <c r="O1042" s="50" t="s">
        <v>2527</v>
      </c>
      <c r="P1042" s="50" t="s">
        <v>2528</v>
      </c>
    </row>
    <row r="1043" ht="13.5" customHeight="1">
      <c r="B1043" s="54"/>
      <c r="C1043" s="38"/>
      <c r="D1043" s="55"/>
      <c r="E1043" s="56"/>
      <c r="F1043" s="55"/>
      <c r="G1043" s="55"/>
      <c r="H1043" s="56"/>
      <c r="J1043" s="57" t="str">
        <f t="shared" si="1"/>
        <v>TrujilloSucreSabana De Mendoza</v>
      </c>
      <c r="K1043" s="50" t="s">
        <v>287</v>
      </c>
      <c r="L1043" s="50" t="s">
        <v>288</v>
      </c>
      <c r="M1043" s="50" t="s">
        <v>2529</v>
      </c>
      <c r="N1043" s="50" t="s">
        <v>271</v>
      </c>
      <c r="O1043" s="50" t="s">
        <v>2530</v>
      </c>
      <c r="P1043" s="50" t="s">
        <v>2531</v>
      </c>
    </row>
    <row r="1044" ht="13.5" customHeight="1">
      <c r="B1044" s="54"/>
      <c r="C1044" s="38"/>
      <c r="D1044" s="55"/>
      <c r="E1044" s="56"/>
      <c r="F1044" s="55"/>
      <c r="G1044" s="55"/>
      <c r="H1044" s="56"/>
      <c r="J1044" s="57" t="str">
        <f t="shared" si="1"/>
        <v>TrujilloSucreEl Paraíso</v>
      </c>
      <c r="K1044" s="50" t="s">
        <v>287</v>
      </c>
      <c r="L1044" s="50" t="s">
        <v>288</v>
      </c>
      <c r="M1044" s="50" t="s">
        <v>2529</v>
      </c>
      <c r="N1044" s="50" t="s">
        <v>271</v>
      </c>
      <c r="O1044" s="50" t="s">
        <v>2532</v>
      </c>
      <c r="P1044" s="50" t="s">
        <v>148</v>
      </c>
    </row>
    <row r="1045" ht="13.5" customHeight="1">
      <c r="B1045" s="54"/>
      <c r="C1045" s="38"/>
      <c r="D1045" s="55"/>
      <c r="E1045" s="56"/>
      <c r="F1045" s="55"/>
      <c r="G1045" s="55"/>
      <c r="H1045" s="56"/>
      <c r="J1045" s="57" t="str">
        <f t="shared" si="1"/>
        <v>TrujilloSucreJunín</v>
      </c>
      <c r="K1045" s="50" t="s">
        <v>287</v>
      </c>
      <c r="L1045" s="50" t="s">
        <v>288</v>
      </c>
      <c r="M1045" s="50" t="s">
        <v>2529</v>
      </c>
      <c r="N1045" s="50" t="s">
        <v>271</v>
      </c>
      <c r="O1045" s="50" t="s">
        <v>2533</v>
      </c>
      <c r="P1045" s="50" t="s">
        <v>2308</v>
      </c>
    </row>
    <row r="1046" ht="13.5" customHeight="1">
      <c r="B1046" s="54"/>
      <c r="C1046" s="38"/>
      <c r="D1046" s="55"/>
      <c r="E1046" s="56"/>
      <c r="F1046" s="55"/>
      <c r="G1046" s="55"/>
      <c r="H1046" s="56"/>
      <c r="J1046" s="57" t="str">
        <f t="shared" si="1"/>
        <v>TrujilloSucreValmore Rodríguez</v>
      </c>
      <c r="K1046" s="50" t="s">
        <v>287</v>
      </c>
      <c r="L1046" s="50" t="s">
        <v>288</v>
      </c>
      <c r="M1046" s="50" t="s">
        <v>2529</v>
      </c>
      <c r="N1046" s="50" t="s">
        <v>271</v>
      </c>
      <c r="O1046" s="50" t="s">
        <v>2534</v>
      </c>
      <c r="P1046" s="50" t="s">
        <v>2535</v>
      </c>
    </row>
    <row r="1047" ht="13.5" customHeight="1">
      <c r="B1047" s="54"/>
      <c r="C1047" s="38"/>
      <c r="D1047" s="55"/>
      <c r="E1047" s="56"/>
      <c r="F1047" s="55"/>
      <c r="G1047" s="55"/>
      <c r="H1047" s="56"/>
      <c r="J1047" s="57" t="str">
        <f t="shared" si="1"/>
        <v>TrujilloTrujilloAndrés Linares</v>
      </c>
      <c r="K1047" s="50" t="s">
        <v>287</v>
      </c>
      <c r="L1047" s="50" t="s">
        <v>288</v>
      </c>
      <c r="M1047" s="50" t="s">
        <v>2536</v>
      </c>
      <c r="N1047" s="50" t="s">
        <v>288</v>
      </c>
      <c r="O1047" s="50" t="s">
        <v>2537</v>
      </c>
      <c r="P1047" s="50" t="s">
        <v>2538</v>
      </c>
    </row>
    <row r="1048" ht="13.5" customHeight="1">
      <c r="B1048" s="54"/>
      <c r="C1048" s="38"/>
      <c r="D1048" s="55"/>
      <c r="E1048" s="56"/>
      <c r="F1048" s="55"/>
      <c r="G1048" s="55"/>
      <c r="H1048" s="56"/>
      <c r="J1048" s="57" t="str">
        <f t="shared" si="1"/>
        <v>TrujilloTrujilloChiquinquira</v>
      </c>
      <c r="K1048" s="50" t="s">
        <v>287</v>
      </c>
      <c r="L1048" s="50" t="s">
        <v>288</v>
      </c>
      <c r="M1048" s="50" t="s">
        <v>2536</v>
      </c>
      <c r="N1048" s="50" t="s">
        <v>288</v>
      </c>
      <c r="O1048" s="50" t="s">
        <v>2539</v>
      </c>
      <c r="P1048" s="50" t="s">
        <v>1536</v>
      </c>
    </row>
    <row r="1049" ht="13.5" customHeight="1">
      <c r="B1049" s="54"/>
      <c r="C1049" s="38"/>
      <c r="D1049" s="55"/>
      <c r="E1049" s="56"/>
      <c r="F1049" s="55"/>
      <c r="G1049" s="55"/>
      <c r="H1049" s="56"/>
      <c r="J1049" s="57" t="str">
        <f t="shared" si="1"/>
        <v>TrujilloTrujilloCristóbal Mendoza</v>
      </c>
      <c r="K1049" s="50" t="s">
        <v>287</v>
      </c>
      <c r="L1049" s="50" t="s">
        <v>288</v>
      </c>
      <c r="M1049" s="50" t="s">
        <v>2536</v>
      </c>
      <c r="N1049" s="50" t="s">
        <v>288</v>
      </c>
      <c r="O1049" s="50" t="s">
        <v>2540</v>
      </c>
      <c r="P1049" s="50" t="s">
        <v>2541</v>
      </c>
    </row>
    <row r="1050" ht="13.5" customHeight="1">
      <c r="B1050" s="54"/>
      <c r="C1050" s="38"/>
      <c r="D1050" s="55"/>
      <c r="E1050" s="56"/>
      <c r="F1050" s="55"/>
      <c r="G1050" s="55"/>
      <c r="H1050" s="56"/>
      <c r="J1050" s="57" t="str">
        <f t="shared" si="1"/>
        <v>TrujilloTrujilloCruz Carrillo</v>
      </c>
      <c r="K1050" s="50" t="s">
        <v>287</v>
      </c>
      <c r="L1050" s="50" t="s">
        <v>288</v>
      </c>
      <c r="M1050" s="50" t="s">
        <v>2536</v>
      </c>
      <c r="N1050" s="50" t="s">
        <v>288</v>
      </c>
      <c r="O1050" s="50" t="s">
        <v>2542</v>
      </c>
      <c r="P1050" s="50" t="s">
        <v>2543</v>
      </c>
    </row>
    <row r="1051" ht="13.5" customHeight="1">
      <c r="B1051" s="54"/>
      <c r="C1051" s="38"/>
      <c r="D1051" s="55"/>
      <c r="E1051" s="56"/>
      <c r="F1051" s="55"/>
      <c r="G1051" s="55"/>
      <c r="H1051" s="56"/>
      <c r="J1051" s="57" t="str">
        <f t="shared" si="1"/>
        <v>TrujilloTrujilloMatriz</v>
      </c>
      <c r="K1051" s="50" t="s">
        <v>287</v>
      </c>
      <c r="L1051" s="50" t="s">
        <v>288</v>
      </c>
      <c r="M1051" s="50" t="s">
        <v>2536</v>
      </c>
      <c r="N1051" s="50" t="s">
        <v>288</v>
      </c>
      <c r="O1051" s="50" t="s">
        <v>2544</v>
      </c>
      <c r="P1051" s="50" t="s">
        <v>1613</v>
      </c>
    </row>
    <row r="1052" ht="13.5" customHeight="1">
      <c r="B1052" s="54"/>
      <c r="C1052" s="38"/>
      <c r="D1052" s="55"/>
      <c r="E1052" s="56"/>
      <c r="F1052" s="55"/>
      <c r="G1052" s="55"/>
      <c r="H1052" s="56"/>
      <c r="J1052" s="57" t="str">
        <f t="shared" si="1"/>
        <v>TrujilloTrujilloMonseñor Carrillo</v>
      </c>
      <c r="K1052" s="50" t="s">
        <v>287</v>
      </c>
      <c r="L1052" s="50" t="s">
        <v>288</v>
      </c>
      <c r="M1052" s="50" t="s">
        <v>2536</v>
      </c>
      <c r="N1052" s="50" t="s">
        <v>288</v>
      </c>
      <c r="O1052" s="50" t="s">
        <v>2545</v>
      </c>
      <c r="P1052" s="50" t="s">
        <v>2546</v>
      </c>
    </row>
    <row r="1053" ht="13.5" customHeight="1">
      <c r="B1053" s="54"/>
      <c r="C1053" s="38"/>
      <c r="D1053" s="55"/>
      <c r="E1053" s="56"/>
      <c r="F1053" s="55"/>
      <c r="G1053" s="55"/>
      <c r="H1053" s="56"/>
      <c r="J1053" s="57" t="str">
        <f t="shared" si="1"/>
        <v>TrujilloTrujilloTres Esquinas</v>
      </c>
      <c r="K1053" s="50" t="s">
        <v>287</v>
      </c>
      <c r="L1053" s="50" t="s">
        <v>288</v>
      </c>
      <c r="M1053" s="50" t="s">
        <v>2536</v>
      </c>
      <c r="N1053" s="50" t="s">
        <v>288</v>
      </c>
      <c r="O1053" s="50" t="s">
        <v>2547</v>
      </c>
      <c r="P1053" s="50" t="s">
        <v>2548</v>
      </c>
    </row>
    <row r="1054" ht="13.5" customHeight="1">
      <c r="B1054" s="54"/>
      <c r="C1054" s="38"/>
      <c r="D1054" s="55"/>
      <c r="E1054" s="56"/>
      <c r="F1054" s="55"/>
      <c r="G1054" s="55"/>
      <c r="H1054" s="56"/>
      <c r="J1054" s="57" t="str">
        <f t="shared" si="1"/>
        <v>TrujilloUrdanetaLa Quebrada</v>
      </c>
      <c r="K1054" s="50" t="s">
        <v>287</v>
      </c>
      <c r="L1054" s="50" t="s">
        <v>288</v>
      </c>
      <c r="M1054" s="50" t="s">
        <v>2549</v>
      </c>
      <c r="N1054" s="50" t="s">
        <v>434</v>
      </c>
      <c r="O1054" s="50" t="s">
        <v>2550</v>
      </c>
      <c r="P1054" s="50" t="s">
        <v>2551</v>
      </c>
    </row>
    <row r="1055" ht="13.5" customHeight="1">
      <c r="B1055" s="54"/>
      <c r="C1055" s="38"/>
      <c r="D1055" s="55"/>
      <c r="E1055" s="56"/>
      <c r="F1055" s="55"/>
      <c r="G1055" s="55"/>
      <c r="H1055" s="56"/>
      <c r="J1055" s="57" t="str">
        <f t="shared" si="1"/>
        <v>TrujilloUrdanetaCabimbu</v>
      </c>
      <c r="K1055" s="50" t="s">
        <v>287</v>
      </c>
      <c r="L1055" s="50" t="s">
        <v>288</v>
      </c>
      <c r="M1055" s="50" t="s">
        <v>2549</v>
      </c>
      <c r="N1055" s="50" t="s">
        <v>434</v>
      </c>
      <c r="O1055" s="50" t="s">
        <v>2552</v>
      </c>
      <c r="P1055" s="50" t="s">
        <v>2553</v>
      </c>
    </row>
    <row r="1056" ht="13.5" customHeight="1">
      <c r="B1056" s="54"/>
      <c r="C1056" s="38"/>
      <c r="D1056" s="55"/>
      <c r="E1056" s="56"/>
      <c r="F1056" s="55"/>
      <c r="G1056" s="55"/>
      <c r="H1056" s="56"/>
      <c r="J1056" s="57" t="str">
        <f t="shared" si="1"/>
        <v>TrujilloUrdanetaJajo</v>
      </c>
      <c r="K1056" s="50" t="s">
        <v>287</v>
      </c>
      <c r="L1056" s="50" t="s">
        <v>288</v>
      </c>
      <c r="M1056" s="50" t="s">
        <v>2549</v>
      </c>
      <c r="N1056" s="50" t="s">
        <v>434</v>
      </c>
      <c r="O1056" s="50" t="s">
        <v>2554</v>
      </c>
      <c r="P1056" s="50" t="s">
        <v>2555</v>
      </c>
    </row>
    <row r="1057" ht="13.5" customHeight="1">
      <c r="B1057" s="54"/>
      <c r="C1057" s="38"/>
      <c r="D1057" s="55"/>
      <c r="E1057" s="56"/>
      <c r="F1057" s="55"/>
      <c r="G1057" s="55"/>
      <c r="H1057" s="56"/>
      <c r="J1057" s="57" t="str">
        <f t="shared" si="1"/>
        <v>TrujilloUrdanetaLa Mesa</v>
      </c>
      <c r="K1057" s="50" t="s">
        <v>287</v>
      </c>
      <c r="L1057" s="50" t="s">
        <v>288</v>
      </c>
      <c r="M1057" s="50" t="s">
        <v>2549</v>
      </c>
      <c r="N1057" s="50" t="s">
        <v>434</v>
      </c>
      <c r="O1057" s="50" t="s">
        <v>2556</v>
      </c>
      <c r="P1057" s="50" t="s">
        <v>1620</v>
      </c>
    </row>
    <row r="1058" ht="13.5" customHeight="1">
      <c r="B1058" s="54"/>
      <c r="C1058" s="38"/>
      <c r="D1058" s="55"/>
      <c r="E1058" s="56"/>
      <c r="F1058" s="55"/>
      <c r="G1058" s="55"/>
      <c r="H1058" s="56"/>
      <c r="J1058" s="57" t="str">
        <f t="shared" si="1"/>
        <v>TrujilloUrdanetaSantiago</v>
      </c>
      <c r="K1058" s="50" t="s">
        <v>287</v>
      </c>
      <c r="L1058" s="50" t="s">
        <v>288</v>
      </c>
      <c r="M1058" s="50" t="s">
        <v>2549</v>
      </c>
      <c r="N1058" s="50" t="s">
        <v>434</v>
      </c>
      <c r="O1058" s="50" t="s">
        <v>2557</v>
      </c>
      <c r="P1058" s="50" t="s">
        <v>2558</v>
      </c>
    </row>
    <row r="1059" ht="13.5" customHeight="1">
      <c r="B1059" s="54"/>
      <c r="C1059" s="38"/>
      <c r="D1059" s="55"/>
      <c r="E1059" s="56"/>
      <c r="F1059" s="55"/>
      <c r="G1059" s="55"/>
      <c r="H1059" s="56"/>
      <c r="J1059" s="57" t="str">
        <f t="shared" si="1"/>
        <v>TrujilloUrdanetaTuñame</v>
      </c>
      <c r="K1059" s="50" t="s">
        <v>287</v>
      </c>
      <c r="L1059" s="50" t="s">
        <v>288</v>
      </c>
      <c r="M1059" s="50" t="s">
        <v>2549</v>
      </c>
      <c r="N1059" s="50" t="s">
        <v>434</v>
      </c>
      <c r="O1059" s="50" t="s">
        <v>2559</v>
      </c>
      <c r="P1059" s="50" t="s">
        <v>2560</v>
      </c>
    </row>
    <row r="1060" ht="13.5" customHeight="1">
      <c r="B1060" s="54"/>
      <c r="C1060" s="38"/>
      <c r="D1060" s="55"/>
      <c r="E1060" s="56"/>
      <c r="F1060" s="55"/>
      <c r="G1060" s="55"/>
      <c r="H1060" s="56"/>
      <c r="J1060" s="57" t="str">
        <f t="shared" si="1"/>
        <v>TrujilloValeraJuan Ignacio Montilla</v>
      </c>
      <c r="K1060" s="50" t="s">
        <v>287</v>
      </c>
      <c r="L1060" s="50" t="s">
        <v>288</v>
      </c>
      <c r="M1060" s="50" t="s">
        <v>2561</v>
      </c>
      <c r="N1060" s="50" t="s">
        <v>575</v>
      </c>
      <c r="O1060" s="50" t="s">
        <v>2562</v>
      </c>
      <c r="P1060" s="50" t="s">
        <v>2563</v>
      </c>
    </row>
    <row r="1061" ht="13.5" customHeight="1">
      <c r="B1061" s="54"/>
      <c r="C1061" s="38"/>
      <c r="D1061" s="55"/>
      <c r="E1061" s="56"/>
      <c r="F1061" s="55"/>
      <c r="G1061" s="55"/>
      <c r="H1061" s="56"/>
      <c r="J1061" s="57" t="str">
        <f t="shared" si="1"/>
        <v>TrujilloValeraLa Beatriz</v>
      </c>
      <c r="K1061" s="50" t="s">
        <v>287</v>
      </c>
      <c r="L1061" s="50" t="s">
        <v>288</v>
      </c>
      <c r="M1061" s="50" t="s">
        <v>2561</v>
      </c>
      <c r="N1061" s="50" t="s">
        <v>575</v>
      </c>
      <c r="O1061" s="50" t="s">
        <v>2564</v>
      </c>
      <c r="P1061" s="50" t="s">
        <v>2565</v>
      </c>
    </row>
    <row r="1062" ht="13.5" customHeight="1">
      <c r="B1062" s="54"/>
      <c r="C1062" s="38"/>
      <c r="D1062" s="55"/>
      <c r="E1062" s="56"/>
      <c r="F1062" s="55"/>
      <c r="G1062" s="55"/>
      <c r="H1062" s="56"/>
      <c r="J1062" s="57" t="str">
        <f t="shared" si="1"/>
        <v>TrujilloValeraMercedes Díaz</v>
      </c>
      <c r="K1062" s="50" t="s">
        <v>287</v>
      </c>
      <c r="L1062" s="50" t="s">
        <v>288</v>
      </c>
      <c r="M1062" s="50" t="s">
        <v>2561</v>
      </c>
      <c r="N1062" s="50" t="s">
        <v>575</v>
      </c>
      <c r="O1062" s="50" t="s">
        <v>2566</v>
      </c>
      <c r="P1062" s="50" t="s">
        <v>2567</v>
      </c>
    </row>
    <row r="1063" ht="13.5" customHeight="1">
      <c r="B1063" s="54"/>
      <c r="C1063" s="38"/>
      <c r="D1063" s="55"/>
      <c r="E1063" s="56"/>
      <c r="F1063" s="55"/>
      <c r="G1063" s="55"/>
      <c r="H1063" s="56"/>
      <c r="J1063" s="57" t="str">
        <f t="shared" si="1"/>
        <v>TrujilloValeraSan Luis</v>
      </c>
      <c r="K1063" s="50" t="s">
        <v>287</v>
      </c>
      <c r="L1063" s="50" t="s">
        <v>288</v>
      </c>
      <c r="M1063" s="50" t="s">
        <v>2561</v>
      </c>
      <c r="N1063" s="50" t="s">
        <v>575</v>
      </c>
      <c r="O1063" s="50" t="s">
        <v>2568</v>
      </c>
      <c r="P1063" s="50" t="s">
        <v>1186</v>
      </c>
    </row>
    <row r="1064" ht="13.5" customHeight="1">
      <c r="B1064" s="54"/>
      <c r="C1064" s="38"/>
      <c r="D1064" s="55"/>
      <c r="E1064" s="56"/>
      <c r="F1064" s="55"/>
      <c r="G1064" s="55"/>
      <c r="H1064" s="56"/>
      <c r="J1064" s="57" t="str">
        <f t="shared" si="1"/>
        <v>TrujilloValeraLa Puerta</v>
      </c>
      <c r="K1064" s="50" t="s">
        <v>287</v>
      </c>
      <c r="L1064" s="50" t="s">
        <v>288</v>
      </c>
      <c r="M1064" s="50" t="s">
        <v>2561</v>
      </c>
      <c r="N1064" s="50" t="s">
        <v>575</v>
      </c>
      <c r="O1064" s="50" t="s">
        <v>2569</v>
      </c>
      <c r="P1064" s="50" t="s">
        <v>2570</v>
      </c>
    </row>
    <row r="1065" ht="13.5" customHeight="1">
      <c r="B1065" s="54"/>
      <c r="C1065" s="38"/>
      <c r="D1065" s="55"/>
      <c r="E1065" s="56"/>
      <c r="F1065" s="55"/>
      <c r="G1065" s="55"/>
      <c r="H1065" s="56"/>
      <c r="J1065" s="57" t="str">
        <f t="shared" si="1"/>
        <v>TrujilloValeraMendoza</v>
      </c>
      <c r="K1065" s="50" t="s">
        <v>287</v>
      </c>
      <c r="L1065" s="50" t="s">
        <v>288</v>
      </c>
      <c r="M1065" s="50" t="s">
        <v>2561</v>
      </c>
      <c r="N1065" s="50" t="s">
        <v>575</v>
      </c>
      <c r="O1065" s="50" t="s">
        <v>2571</v>
      </c>
      <c r="P1065" s="50" t="s">
        <v>2572</v>
      </c>
    </row>
    <row r="1066" ht="13.5" customHeight="1">
      <c r="B1066" s="54"/>
      <c r="C1066" s="38"/>
      <c r="D1066" s="55"/>
      <c r="E1066" s="56"/>
      <c r="F1066" s="55"/>
      <c r="G1066" s="55"/>
      <c r="H1066" s="56"/>
      <c r="J1066" s="57" t="str">
        <f t="shared" si="1"/>
        <v>YaracuyArístides BastidasArístides Bastidas</v>
      </c>
      <c r="K1066" s="50" t="s">
        <v>294</v>
      </c>
      <c r="L1066" s="50" t="s">
        <v>295</v>
      </c>
      <c r="M1066" s="50" t="s">
        <v>2573</v>
      </c>
      <c r="N1066" s="50" t="s">
        <v>462</v>
      </c>
      <c r="O1066" s="50" t="s">
        <v>2574</v>
      </c>
      <c r="P1066" s="50" t="s">
        <v>462</v>
      </c>
    </row>
    <row r="1067" ht="13.5" customHeight="1">
      <c r="B1067" s="54"/>
      <c r="C1067" s="38"/>
      <c r="D1067" s="55"/>
      <c r="E1067" s="56"/>
      <c r="F1067" s="55"/>
      <c r="G1067" s="55"/>
      <c r="H1067" s="56"/>
      <c r="J1067" s="57" t="str">
        <f t="shared" si="1"/>
        <v>YaracuyBolívarBolívar</v>
      </c>
      <c r="K1067" s="50" t="s">
        <v>294</v>
      </c>
      <c r="L1067" s="50" t="s">
        <v>295</v>
      </c>
      <c r="M1067" s="50" t="s">
        <v>2575</v>
      </c>
      <c r="N1067" s="50" t="s">
        <v>129</v>
      </c>
      <c r="O1067" s="50" t="s">
        <v>2576</v>
      </c>
      <c r="P1067" s="50" t="s">
        <v>129</v>
      </c>
    </row>
    <row r="1068" ht="13.5" customHeight="1">
      <c r="B1068" s="54"/>
      <c r="C1068" s="38"/>
      <c r="D1068" s="55"/>
      <c r="E1068" s="56"/>
      <c r="F1068" s="55"/>
      <c r="G1068" s="55"/>
      <c r="H1068" s="56"/>
      <c r="J1068" s="57" t="str">
        <f t="shared" si="1"/>
        <v>YaracuyBruzualBruzual</v>
      </c>
      <c r="K1068" s="50" t="s">
        <v>294</v>
      </c>
      <c r="L1068" s="50" t="s">
        <v>295</v>
      </c>
      <c r="M1068" s="50" t="s">
        <v>2577</v>
      </c>
      <c r="N1068" s="50" t="s">
        <v>483</v>
      </c>
      <c r="O1068" s="50" t="s">
        <v>2578</v>
      </c>
      <c r="P1068" s="50" t="s">
        <v>483</v>
      </c>
    </row>
    <row r="1069" ht="13.5" customHeight="1">
      <c r="B1069" s="54"/>
      <c r="C1069" s="38"/>
      <c r="D1069" s="55"/>
      <c r="E1069" s="56"/>
      <c r="F1069" s="55"/>
      <c r="G1069" s="55"/>
      <c r="H1069" s="56"/>
      <c r="J1069" s="57" t="str">
        <f t="shared" si="1"/>
        <v>YaracuyBruzualCampo Elías</v>
      </c>
      <c r="K1069" s="50" t="s">
        <v>294</v>
      </c>
      <c r="L1069" s="50" t="s">
        <v>295</v>
      </c>
      <c r="M1069" s="50" t="s">
        <v>2577</v>
      </c>
      <c r="N1069" s="50" t="s">
        <v>483</v>
      </c>
      <c r="O1069" s="50" t="s">
        <v>2579</v>
      </c>
      <c r="P1069" s="50" t="s">
        <v>1609</v>
      </c>
    </row>
    <row r="1070" ht="13.5" customHeight="1">
      <c r="B1070" s="54"/>
      <c r="C1070" s="38"/>
      <c r="D1070" s="55"/>
      <c r="E1070" s="56"/>
      <c r="F1070" s="55"/>
      <c r="G1070" s="55"/>
      <c r="H1070" s="56"/>
      <c r="J1070" s="57" t="str">
        <f t="shared" si="1"/>
        <v>YaracuyCocoroteCocorote</v>
      </c>
      <c r="K1070" s="50" t="s">
        <v>294</v>
      </c>
      <c r="L1070" s="50" t="s">
        <v>295</v>
      </c>
      <c r="M1070" s="50" t="s">
        <v>2580</v>
      </c>
      <c r="N1070" s="50" t="s">
        <v>493</v>
      </c>
      <c r="O1070" s="50" t="s">
        <v>2581</v>
      </c>
      <c r="P1070" s="50" t="s">
        <v>493</v>
      </c>
    </row>
    <row r="1071" ht="13.5" customHeight="1">
      <c r="B1071" s="54"/>
      <c r="C1071" s="38"/>
      <c r="D1071" s="55"/>
      <c r="E1071" s="56"/>
      <c r="F1071" s="55"/>
      <c r="G1071" s="55"/>
      <c r="H1071" s="56"/>
      <c r="J1071" s="57" t="str">
        <f t="shared" si="1"/>
        <v>YaracuyIndependenciaIndependencia</v>
      </c>
      <c r="K1071" s="50" t="s">
        <v>294</v>
      </c>
      <c r="L1071" s="50" t="s">
        <v>295</v>
      </c>
      <c r="M1071" s="50" t="s">
        <v>2582</v>
      </c>
      <c r="N1071" s="50" t="s">
        <v>234</v>
      </c>
      <c r="O1071" s="50" t="s">
        <v>2583</v>
      </c>
      <c r="P1071" s="50" t="s">
        <v>234</v>
      </c>
    </row>
    <row r="1072" ht="13.5" customHeight="1">
      <c r="B1072" s="54"/>
      <c r="C1072" s="38"/>
      <c r="D1072" s="55"/>
      <c r="E1072" s="56"/>
      <c r="F1072" s="55"/>
      <c r="G1072" s="55"/>
      <c r="H1072" s="56"/>
      <c r="J1072" s="57" t="str">
        <f t="shared" si="1"/>
        <v>YaracuyJosé Antonio PáezJosé Antonio Páez</v>
      </c>
      <c r="K1072" s="50" t="s">
        <v>294</v>
      </c>
      <c r="L1072" s="50" t="s">
        <v>295</v>
      </c>
      <c r="M1072" s="50" t="s">
        <v>2584</v>
      </c>
      <c r="N1072" s="50" t="s">
        <v>512</v>
      </c>
      <c r="O1072" s="50" t="s">
        <v>2585</v>
      </c>
      <c r="P1072" s="50" t="s">
        <v>512</v>
      </c>
    </row>
    <row r="1073" ht="13.5" customHeight="1">
      <c r="B1073" s="54"/>
      <c r="C1073" s="38"/>
      <c r="D1073" s="55"/>
      <c r="E1073" s="56"/>
      <c r="F1073" s="55"/>
      <c r="G1073" s="55"/>
      <c r="H1073" s="56"/>
      <c r="J1073" s="57" t="str">
        <f t="shared" si="1"/>
        <v>YaracuyLa TrinidadLa Trinidad</v>
      </c>
      <c r="K1073" s="50" t="s">
        <v>294</v>
      </c>
      <c r="L1073" s="50" t="s">
        <v>295</v>
      </c>
      <c r="M1073" s="50" t="s">
        <v>2586</v>
      </c>
      <c r="N1073" s="50" t="s">
        <v>520</v>
      </c>
      <c r="O1073" s="50" t="s">
        <v>2587</v>
      </c>
      <c r="P1073" s="50" t="s">
        <v>520</v>
      </c>
    </row>
    <row r="1074" ht="13.5" customHeight="1">
      <c r="B1074" s="54"/>
      <c r="C1074" s="38"/>
      <c r="D1074" s="55"/>
      <c r="E1074" s="56"/>
      <c r="F1074" s="55"/>
      <c r="G1074" s="55"/>
      <c r="H1074" s="56"/>
      <c r="J1074" s="57" t="str">
        <f t="shared" si="1"/>
        <v>YaracuyManuel MongeManuel Monge</v>
      </c>
      <c r="K1074" s="50" t="s">
        <v>294</v>
      </c>
      <c r="L1074" s="50" t="s">
        <v>295</v>
      </c>
      <c r="M1074" s="50" t="s">
        <v>2588</v>
      </c>
      <c r="N1074" s="50" t="s">
        <v>529</v>
      </c>
      <c r="O1074" s="50" t="s">
        <v>2589</v>
      </c>
      <c r="P1074" s="50" t="s">
        <v>529</v>
      </c>
    </row>
    <row r="1075" ht="13.5" customHeight="1">
      <c r="B1075" s="54"/>
      <c r="C1075" s="38"/>
      <c r="D1075" s="55"/>
      <c r="E1075" s="56"/>
      <c r="F1075" s="55"/>
      <c r="G1075" s="55"/>
      <c r="H1075" s="56"/>
      <c r="J1075" s="57" t="str">
        <f t="shared" si="1"/>
        <v>YaracuyNirguaNirgua</v>
      </c>
      <c r="K1075" s="50" t="s">
        <v>294</v>
      </c>
      <c r="L1075" s="50" t="s">
        <v>295</v>
      </c>
      <c r="M1075" s="50" t="s">
        <v>2590</v>
      </c>
      <c r="N1075" s="50" t="s">
        <v>538</v>
      </c>
      <c r="O1075" s="50" t="s">
        <v>2591</v>
      </c>
      <c r="P1075" s="50" t="s">
        <v>538</v>
      </c>
    </row>
    <row r="1076" ht="13.5" customHeight="1">
      <c r="B1076" s="54"/>
      <c r="C1076" s="38"/>
      <c r="D1076" s="55"/>
      <c r="E1076" s="56"/>
      <c r="F1076" s="55"/>
      <c r="G1076" s="55"/>
      <c r="H1076" s="56"/>
      <c r="J1076" s="57" t="str">
        <f t="shared" si="1"/>
        <v>YaracuyNirguaSalom</v>
      </c>
      <c r="K1076" s="50" t="s">
        <v>294</v>
      </c>
      <c r="L1076" s="50" t="s">
        <v>295</v>
      </c>
      <c r="M1076" s="50" t="s">
        <v>2590</v>
      </c>
      <c r="N1076" s="50" t="s">
        <v>538</v>
      </c>
      <c r="O1076" s="50" t="s">
        <v>2592</v>
      </c>
      <c r="P1076" s="50" t="s">
        <v>991</v>
      </c>
    </row>
    <row r="1077" ht="13.5" customHeight="1">
      <c r="B1077" s="54"/>
      <c r="C1077" s="38"/>
      <c r="D1077" s="55"/>
      <c r="E1077" s="56"/>
      <c r="F1077" s="55"/>
      <c r="G1077" s="55"/>
      <c r="H1077" s="56"/>
      <c r="J1077" s="57" t="str">
        <f t="shared" si="1"/>
        <v>YaracuyNirguaTemerla</v>
      </c>
      <c r="K1077" s="50" t="s">
        <v>294</v>
      </c>
      <c r="L1077" s="50" t="s">
        <v>295</v>
      </c>
      <c r="M1077" s="50" t="s">
        <v>2590</v>
      </c>
      <c r="N1077" s="50" t="s">
        <v>538</v>
      </c>
      <c r="O1077" s="50" t="s">
        <v>2593</v>
      </c>
      <c r="P1077" s="50" t="s">
        <v>2594</v>
      </c>
    </row>
    <row r="1078" ht="13.5" customHeight="1">
      <c r="B1078" s="54"/>
      <c r="C1078" s="38"/>
      <c r="D1078" s="55"/>
      <c r="E1078" s="56"/>
      <c r="F1078" s="55"/>
      <c r="G1078" s="55"/>
      <c r="H1078" s="56"/>
      <c r="J1078" s="57" t="str">
        <f t="shared" si="1"/>
        <v>YaracuyPeñaCapital Peña</v>
      </c>
      <c r="K1078" s="50" t="s">
        <v>294</v>
      </c>
      <c r="L1078" s="50" t="s">
        <v>295</v>
      </c>
      <c r="M1078" s="50" t="s">
        <v>2595</v>
      </c>
      <c r="N1078" s="50" t="s">
        <v>546</v>
      </c>
      <c r="O1078" s="50" t="s">
        <v>2596</v>
      </c>
      <c r="P1078" s="50" t="s">
        <v>2597</v>
      </c>
    </row>
    <row r="1079" ht="13.5" customHeight="1">
      <c r="B1079" s="54"/>
      <c r="C1079" s="38"/>
      <c r="D1079" s="55"/>
      <c r="E1079" s="56"/>
      <c r="F1079" s="55"/>
      <c r="G1079" s="55"/>
      <c r="H1079" s="56"/>
      <c r="J1079" s="57" t="str">
        <f t="shared" si="1"/>
        <v>YaracuyPeñaSan Andrés</v>
      </c>
      <c r="K1079" s="50" t="s">
        <v>294</v>
      </c>
      <c r="L1079" s="50" t="s">
        <v>295</v>
      </c>
      <c r="M1079" s="50" t="s">
        <v>2595</v>
      </c>
      <c r="N1079" s="50" t="s">
        <v>546</v>
      </c>
      <c r="O1079" s="50" t="s">
        <v>2598</v>
      </c>
      <c r="P1079" s="50" t="s">
        <v>2599</v>
      </c>
    </row>
    <row r="1080" ht="13.5" customHeight="1">
      <c r="B1080" s="54"/>
      <c r="C1080" s="38"/>
      <c r="D1080" s="55"/>
      <c r="E1080" s="56"/>
      <c r="F1080" s="55"/>
      <c r="G1080" s="55"/>
      <c r="H1080" s="56"/>
      <c r="J1080" s="57" t="str">
        <f t="shared" si="1"/>
        <v>YaracuySan FelipeCapital San Felipe</v>
      </c>
      <c r="K1080" s="50" t="s">
        <v>294</v>
      </c>
      <c r="L1080" s="50" t="s">
        <v>295</v>
      </c>
      <c r="M1080" s="50" t="s">
        <v>2600</v>
      </c>
      <c r="N1080" s="50" t="s">
        <v>553</v>
      </c>
      <c r="O1080" s="50" t="s">
        <v>2601</v>
      </c>
      <c r="P1080" s="50" t="s">
        <v>2602</v>
      </c>
    </row>
    <row r="1081" ht="13.5" customHeight="1">
      <c r="B1081" s="54"/>
      <c r="C1081" s="38"/>
      <c r="D1081" s="55"/>
      <c r="E1081" s="56"/>
      <c r="F1081" s="55"/>
      <c r="G1081" s="55"/>
      <c r="H1081" s="56"/>
      <c r="J1081" s="57" t="str">
        <f t="shared" si="1"/>
        <v>YaracuySan FelipeAlbarico</v>
      </c>
      <c r="K1081" s="50" t="s">
        <v>294</v>
      </c>
      <c r="L1081" s="50" t="s">
        <v>295</v>
      </c>
      <c r="M1081" s="50" t="s">
        <v>2600</v>
      </c>
      <c r="N1081" s="50" t="s">
        <v>553</v>
      </c>
      <c r="O1081" s="50" t="s">
        <v>2603</v>
      </c>
      <c r="P1081" s="50" t="s">
        <v>2604</v>
      </c>
    </row>
    <row r="1082" ht="13.5" customHeight="1">
      <c r="B1082" s="54"/>
      <c r="C1082" s="38"/>
      <c r="D1082" s="55"/>
      <c r="E1082" s="56"/>
      <c r="F1082" s="55"/>
      <c r="G1082" s="55"/>
      <c r="H1082" s="56"/>
      <c r="J1082" s="57" t="str">
        <f t="shared" si="1"/>
        <v>YaracuySan FelipeSan Javier</v>
      </c>
      <c r="K1082" s="50" t="s">
        <v>294</v>
      </c>
      <c r="L1082" s="50" t="s">
        <v>295</v>
      </c>
      <c r="M1082" s="50" t="s">
        <v>2600</v>
      </c>
      <c r="N1082" s="50" t="s">
        <v>553</v>
      </c>
      <c r="O1082" s="50" t="s">
        <v>2605</v>
      </c>
      <c r="P1082" s="50" t="s">
        <v>2606</v>
      </c>
    </row>
    <row r="1083" ht="13.5" customHeight="1">
      <c r="B1083" s="54"/>
      <c r="C1083" s="38"/>
      <c r="D1083" s="55"/>
      <c r="E1083" s="56"/>
      <c r="F1083" s="55"/>
      <c r="G1083" s="55"/>
      <c r="H1083" s="56"/>
      <c r="J1083" s="57" t="str">
        <f t="shared" si="1"/>
        <v>YaracuySucreSucre</v>
      </c>
      <c r="K1083" s="50" t="s">
        <v>294</v>
      </c>
      <c r="L1083" s="50" t="s">
        <v>295</v>
      </c>
      <c r="M1083" s="50" t="s">
        <v>2607</v>
      </c>
      <c r="N1083" s="50" t="s">
        <v>271</v>
      </c>
      <c r="O1083" s="50" t="s">
        <v>2608</v>
      </c>
      <c r="P1083" s="50" t="s">
        <v>271</v>
      </c>
    </row>
    <row r="1084" ht="13.5" customHeight="1">
      <c r="B1084" s="54"/>
      <c r="C1084" s="38"/>
      <c r="D1084" s="55"/>
      <c r="E1084" s="56"/>
      <c r="F1084" s="55"/>
      <c r="G1084" s="55"/>
      <c r="H1084" s="56"/>
      <c r="J1084" s="57" t="str">
        <f t="shared" si="1"/>
        <v>YaracuyUrachicheUrachiche</v>
      </c>
      <c r="K1084" s="50" t="s">
        <v>294</v>
      </c>
      <c r="L1084" s="50" t="s">
        <v>295</v>
      </c>
      <c r="M1084" s="50" t="s">
        <v>2609</v>
      </c>
      <c r="N1084" s="50" t="s">
        <v>562</v>
      </c>
      <c r="O1084" s="50" t="s">
        <v>2610</v>
      </c>
      <c r="P1084" s="50" t="s">
        <v>562</v>
      </c>
    </row>
    <row r="1085" ht="13.5" customHeight="1">
      <c r="B1085" s="54"/>
      <c r="C1085" s="38"/>
      <c r="D1085" s="55"/>
      <c r="E1085" s="56"/>
      <c r="F1085" s="55"/>
      <c r="G1085" s="55"/>
      <c r="H1085" s="56"/>
      <c r="J1085" s="57" t="str">
        <f t="shared" si="1"/>
        <v>YaracuyVeroesCapital Veroes</v>
      </c>
      <c r="K1085" s="50" t="s">
        <v>294</v>
      </c>
      <c r="L1085" s="50" t="s">
        <v>295</v>
      </c>
      <c r="M1085" s="50" t="s">
        <v>2611</v>
      </c>
      <c r="N1085" s="50" t="s">
        <v>568</v>
      </c>
      <c r="O1085" s="50" t="s">
        <v>2612</v>
      </c>
      <c r="P1085" s="50" t="s">
        <v>2613</v>
      </c>
    </row>
    <row r="1086" ht="13.5" customHeight="1">
      <c r="B1086" s="54"/>
      <c r="C1086" s="38"/>
      <c r="D1086" s="55"/>
      <c r="E1086" s="56"/>
      <c r="F1086" s="55"/>
      <c r="G1086" s="55"/>
      <c r="H1086" s="56"/>
      <c r="J1086" s="57" t="str">
        <f t="shared" si="1"/>
        <v>YaracuyVeroesEl Guayabo</v>
      </c>
      <c r="K1086" s="50" t="s">
        <v>294</v>
      </c>
      <c r="L1086" s="50" t="s">
        <v>295</v>
      </c>
      <c r="M1086" s="50" t="s">
        <v>2611</v>
      </c>
      <c r="N1086" s="50" t="s">
        <v>568</v>
      </c>
      <c r="O1086" s="50" t="s">
        <v>2614</v>
      </c>
      <c r="P1086" s="50" t="s">
        <v>2615</v>
      </c>
    </row>
    <row r="1087" ht="13.5" customHeight="1">
      <c r="B1087" s="54"/>
      <c r="C1087" s="38"/>
      <c r="D1087" s="55"/>
      <c r="E1087" s="56"/>
      <c r="F1087" s="55"/>
      <c r="G1087" s="55"/>
      <c r="H1087" s="56"/>
      <c r="J1087" s="57" t="str">
        <f t="shared" si="1"/>
        <v>ZuliaAlmirante PadillaIsla De Toas</v>
      </c>
      <c r="K1087" s="50" t="s">
        <v>301</v>
      </c>
      <c r="L1087" s="50" t="s">
        <v>302</v>
      </c>
      <c r="M1087" s="50" t="s">
        <v>2616</v>
      </c>
      <c r="N1087" s="50" t="s">
        <v>2617</v>
      </c>
      <c r="O1087" s="50" t="s">
        <v>2618</v>
      </c>
      <c r="P1087" s="50" t="s">
        <v>2619</v>
      </c>
    </row>
    <row r="1088" ht="13.5" customHeight="1">
      <c r="B1088" s="54"/>
      <c r="C1088" s="38"/>
      <c r="D1088" s="55"/>
      <c r="E1088" s="56"/>
      <c r="F1088" s="55"/>
      <c r="G1088" s="55"/>
      <c r="H1088" s="56"/>
      <c r="J1088" s="57" t="str">
        <f t="shared" si="1"/>
        <v>ZuliaAlmirante PadillaMonagas</v>
      </c>
      <c r="K1088" s="50" t="s">
        <v>301</v>
      </c>
      <c r="L1088" s="50" t="s">
        <v>302</v>
      </c>
      <c r="M1088" s="50" t="s">
        <v>2616</v>
      </c>
      <c r="N1088" s="50" t="s">
        <v>2617</v>
      </c>
      <c r="O1088" s="50" t="s">
        <v>2620</v>
      </c>
      <c r="P1088" s="50" t="s">
        <v>243</v>
      </c>
    </row>
    <row r="1089" ht="13.5" customHeight="1">
      <c r="B1089" s="54"/>
      <c r="C1089" s="38"/>
      <c r="D1089" s="55"/>
      <c r="E1089" s="56"/>
      <c r="F1089" s="55"/>
      <c r="G1089" s="55"/>
      <c r="H1089" s="56"/>
      <c r="J1089" s="57" t="str">
        <f t="shared" si="1"/>
        <v>ZuliaBaraltSan Timoteo</v>
      </c>
      <c r="K1089" s="50" t="s">
        <v>301</v>
      </c>
      <c r="L1089" s="50" t="s">
        <v>302</v>
      </c>
      <c r="M1089" s="50" t="s">
        <v>2621</v>
      </c>
      <c r="N1089" s="50" t="s">
        <v>2622</v>
      </c>
      <c r="O1089" s="50" t="s">
        <v>2623</v>
      </c>
      <c r="P1089" s="50" t="s">
        <v>2624</v>
      </c>
    </row>
    <row r="1090" ht="13.5" customHeight="1">
      <c r="B1090" s="54"/>
      <c r="C1090" s="38"/>
      <c r="D1090" s="55"/>
      <c r="E1090" s="56"/>
      <c r="F1090" s="55"/>
      <c r="G1090" s="55"/>
      <c r="H1090" s="56"/>
      <c r="J1090" s="57" t="str">
        <f t="shared" si="1"/>
        <v>ZuliaBaraltGeneral Urdaneta</v>
      </c>
      <c r="K1090" s="50" t="s">
        <v>301</v>
      </c>
      <c r="L1090" s="50" t="s">
        <v>302</v>
      </c>
      <c r="M1090" s="50" t="s">
        <v>2621</v>
      </c>
      <c r="N1090" s="50" t="s">
        <v>2622</v>
      </c>
      <c r="O1090" s="50" t="s">
        <v>2625</v>
      </c>
      <c r="P1090" s="50" t="s">
        <v>2626</v>
      </c>
    </row>
    <row r="1091" ht="13.5" customHeight="1">
      <c r="B1091" s="54"/>
      <c r="C1091" s="38"/>
      <c r="D1091" s="55"/>
      <c r="E1091" s="56"/>
      <c r="F1091" s="55"/>
      <c r="G1091" s="55"/>
      <c r="H1091" s="56"/>
      <c r="J1091" s="57" t="str">
        <f t="shared" si="1"/>
        <v>ZuliaBaraltLibertador</v>
      </c>
      <c r="K1091" s="50" t="s">
        <v>301</v>
      </c>
      <c r="L1091" s="50" t="s">
        <v>302</v>
      </c>
      <c r="M1091" s="50" t="s">
        <v>2621</v>
      </c>
      <c r="N1091" s="50" t="s">
        <v>2622</v>
      </c>
      <c r="O1091" s="50" t="s">
        <v>2627</v>
      </c>
      <c r="P1091" s="50" t="s">
        <v>34</v>
      </c>
    </row>
    <row r="1092" ht="13.5" customHeight="1">
      <c r="B1092" s="54"/>
      <c r="C1092" s="38"/>
      <c r="D1092" s="55"/>
      <c r="E1092" s="56"/>
      <c r="F1092" s="55"/>
      <c r="G1092" s="55"/>
      <c r="H1092" s="56"/>
      <c r="J1092" s="57" t="str">
        <f t="shared" si="1"/>
        <v>ZuliaBaraltManuel Guanipa Matos</v>
      </c>
      <c r="K1092" s="50" t="s">
        <v>301</v>
      </c>
      <c r="L1092" s="50" t="s">
        <v>302</v>
      </c>
      <c r="M1092" s="50" t="s">
        <v>2621</v>
      </c>
      <c r="N1092" s="50" t="s">
        <v>2622</v>
      </c>
      <c r="O1092" s="50" t="s">
        <v>2628</v>
      </c>
      <c r="P1092" s="50" t="s">
        <v>2629</v>
      </c>
    </row>
    <row r="1093" ht="13.5" customHeight="1">
      <c r="B1093" s="54"/>
      <c r="C1093" s="38"/>
      <c r="D1093" s="55"/>
      <c r="E1093" s="56"/>
      <c r="F1093" s="55"/>
      <c r="G1093" s="55"/>
      <c r="H1093" s="56"/>
      <c r="J1093" s="57" t="str">
        <f t="shared" si="1"/>
        <v>ZuliaBaraltMarcelino Briceño</v>
      </c>
      <c r="K1093" s="50" t="s">
        <v>301</v>
      </c>
      <c r="L1093" s="50" t="s">
        <v>302</v>
      </c>
      <c r="M1093" s="50" t="s">
        <v>2621</v>
      </c>
      <c r="N1093" s="50" t="s">
        <v>2622</v>
      </c>
      <c r="O1093" s="50" t="s">
        <v>2630</v>
      </c>
      <c r="P1093" s="50" t="s">
        <v>2631</v>
      </c>
    </row>
    <row r="1094" ht="13.5" customHeight="1">
      <c r="B1094" s="54"/>
      <c r="C1094" s="38"/>
      <c r="D1094" s="55"/>
      <c r="E1094" s="56"/>
      <c r="F1094" s="55"/>
      <c r="G1094" s="55"/>
      <c r="H1094" s="56"/>
      <c r="J1094" s="57" t="str">
        <f t="shared" si="1"/>
        <v>ZuliaBaraltPueblo Nuevo</v>
      </c>
      <c r="K1094" s="50" t="s">
        <v>301</v>
      </c>
      <c r="L1094" s="50" t="s">
        <v>302</v>
      </c>
      <c r="M1094" s="50" t="s">
        <v>2621</v>
      </c>
      <c r="N1094" s="50" t="s">
        <v>2622</v>
      </c>
      <c r="O1094" s="50" t="s">
        <v>2632</v>
      </c>
      <c r="P1094" s="50" t="s">
        <v>647</v>
      </c>
    </row>
    <row r="1095" ht="13.5" customHeight="1">
      <c r="B1095" s="54"/>
      <c r="C1095" s="38"/>
      <c r="D1095" s="55"/>
      <c r="E1095" s="56"/>
      <c r="F1095" s="55"/>
      <c r="G1095" s="55"/>
      <c r="H1095" s="56"/>
      <c r="J1095" s="57" t="str">
        <f t="shared" si="1"/>
        <v>ZuliaCabimasAmbrosio</v>
      </c>
      <c r="K1095" s="50" t="s">
        <v>301</v>
      </c>
      <c r="L1095" s="50" t="s">
        <v>302</v>
      </c>
      <c r="M1095" s="50" t="s">
        <v>2633</v>
      </c>
      <c r="N1095" s="50" t="s">
        <v>2634</v>
      </c>
      <c r="O1095" s="50" t="s">
        <v>2635</v>
      </c>
      <c r="P1095" s="50" t="s">
        <v>2636</v>
      </c>
    </row>
    <row r="1096" ht="13.5" customHeight="1">
      <c r="B1096" s="54"/>
      <c r="C1096" s="38"/>
      <c r="D1096" s="55"/>
      <c r="E1096" s="56"/>
      <c r="F1096" s="55"/>
      <c r="G1096" s="55"/>
      <c r="H1096" s="56"/>
      <c r="J1096" s="57" t="str">
        <f t="shared" si="1"/>
        <v>ZuliaCabimasCarmen Herrera</v>
      </c>
      <c r="K1096" s="50" t="s">
        <v>301</v>
      </c>
      <c r="L1096" s="50" t="s">
        <v>302</v>
      </c>
      <c r="M1096" s="50" t="s">
        <v>2633</v>
      </c>
      <c r="N1096" s="50" t="s">
        <v>2634</v>
      </c>
      <c r="O1096" s="50" t="s">
        <v>2637</v>
      </c>
      <c r="P1096" s="50" t="s">
        <v>2638</v>
      </c>
    </row>
    <row r="1097" ht="13.5" customHeight="1">
      <c r="B1097" s="54"/>
      <c r="C1097" s="38"/>
      <c r="D1097" s="55"/>
      <c r="E1097" s="56"/>
      <c r="F1097" s="55"/>
      <c r="G1097" s="55"/>
      <c r="H1097" s="56"/>
      <c r="J1097" s="57" t="str">
        <f t="shared" si="1"/>
        <v>ZuliaCabimasGermán Ríos Linares</v>
      </c>
      <c r="K1097" s="50" t="s">
        <v>301</v>
      </c>
      <c r="L1097" s="50" t="s">
        <v>302</v>
      </c>
      <c r="M1097" s="50" t="s">
        <v>2633</v>
      </c>
      <c r="N1097" s="50" t="s">
        <v>2634</v>
      </c>
      <c r="O1097" s="50" t="s">
        <v>2639</v>
      </c>
      <c r="P1097" s="50" t="s">
        <v>2640</v>
      </c>
    </row>
    <row r="1098" ht="13.5" customHeight="1">
      <c r="B1098" s="54"/>
      <c r="C1098" s="38"/>
      <c r="D1098" s="55"/>
      <c r="E1098" s="56"/>
      <c r="F1098" s="55"/>
      <c r="G1098" s="55"/>
      <c r="H1098" s="56"/>
      <c r="J1098" s="57" t="str">
        <f t="shared" si="1"/>
        <v>ZuliaCabimasLa Rosa</v>
      </c>
      <c r="K1098" s="50" t="s">
        <v>301</v>
      </c>
      <c r="L1098" s="50" t="s">
        <v>302</v>
      </c>
      <c r="M1098" s="50" t="s">
        <v>2633</v>
      </c>
      <c r="N1098" s="50" t="s">
        <v>2634</v>
      </c>
      <c r="O1098" s="50" t="s">
        <v>2641</v>
      </c>
      <c r="P1098" s="50" t="s">
        <v>2642</v>
      </c>
    </row>
    <row r="1099" ht="13.5" customHeight="1">
      <c r="B1099" s="54"/>
      <c r="C1099" s="38"/>
      <c r="D1099" s="55"/>
      <c r="E1099" s="56"/>
      <c r="F1099" s="55"/>
      <c r="G1099" s="55"/>
      <c r="H1099" s="56"/>
      <c r="J1099" s="57" t="str">
        <f t="shared" si="1"/>
        <v>ZuliaCabimasJorge Hernández</v>
      </c>
      <c r="K1099" s="50" t="s">
        <v>301</v>
      </c>
      <c r="L1099" s="50" t="s">
        <v>302</v>
      </c>
      <c r="M1099" s="50" t="s">
        <v>2633</v>
      </c>
      <c r="N1099" s="50" t="s">
        <v>2634</v>
      </c>
      <c r="O1099" s="50" t="s">
        <v>2643</v>
      </c>
      <c r="P1099" s="50" t="s">
        <v>2644</v>
      </c>
    </row>
    <row r="1100" ht="13.5" customHeight="1">
      <c r="B1100" s="54"/>
      <c r="C1100" s="38"/>
      <c r="D1100" s="55"/>
      <c r="E1100" s="56"/>
      <c r="F1100" s="55"/>
      <c r="G1100" s="55"/>
      <c r="H1100" s="56"/>
      <c r="J1100" s="57" t="str">
        <f t="shared" si="1"/>
        <v>ZuliaCabimasRómulo Betancourt</v>
      </c>
      <c r="K1100" s="50" t="s">
        <v>301</v>
      </c>
      <c r="L1100" s="50" t="s">
        <v>302</v>
      </c>
      <c r="M1100" s="50" t="s">
        <v>2633</v>
      </c>
      <c r="N1100" s="50" t="s">
        <v>2634</v>
      </c>
      <c r="O1100" s="50" t="s">
        <v>2645</v>
      </c>
      <c r="P1100" s="50" t="s">
        <v>2646</v>
      </c>
    </row>
    <row r="1101" ht="13.5" customHeight="1">
      <c r="B1101" s="54"/>
      <c r="C1101" s="38"/>
      <c r="D1101" s="55"/>
      <c r="E1101" s="56"/>
      <c r="F1101" s="55"/>
      <c r="G1101" s="55"/>
      <c r="H1101" s="56"/>
      <c r="J1101" s="57" t="str">
        <f t="shared" si="1"/>
        <v>ZuliaCabimasSan Benito</v>
      </c>
      <c r="K1101" s="50" t="s">
        <v>301</v>
      </c>
      <c r="L1101" s="50" t="s">
        <v>302</v>
      </c>
      <c r="M1101" s="50" t="s">
        <v>2633</v>
      </c>
      <c r="N1101" s="50" t="s">
        <v>2634</v>
      </c>
      <c r="O1101" s="50" t="s">
        <v>2647</v>
      </c>
      <c r="P1101" s="50" t="s">
        <v>2648</v>
      </c>
    </row>
    <row r="1102" ht="13.5" customHeight="1">
      <c r="B1102" s="54"/>
      <c r="C1102" s="38"/>
      <c r="D1102" s="55"/>
      <c r="E1102" s="56"/>
      <c r="F1102" s="55"/>
      <c r="G1102" s="55"/>
      <c r="H1102" s="56"/>
      <c r="J1102" s="57" t="str">
        <f t="shared" si="1"/>
        <v>ZuliaCabimasArístides Calvani</v>
      </c>
      <c r="K1102" s="50" t="s">
        <v>301</v>
      </c>
      <c r="L1102" s="50" t="s">
        <v>302</v>
      </c>
      <c r="M1102" s="50" t="s">
        <v>2633</v>
      </c>
      <c r="N1102" s="50" t="s">
        <v>2634</v>
      </c>
      <c r="O1102" s="50" t="s">
        <v>2649</v>
      </c>
      <c r="P1102" s="50" t="s">
        <v>2650</v>
      </c>
    </row>
    <row r="1103" ht="13.5" customHeight="1">
      <c r="B1103" s="54"/>
      <c r="C1103" s="38"/>
      <c r="D1103" s="55"/>
      <c r="E1103" s="56"/>
      <c r="F1103" s="55"/>
      <c r="G1103" s="55"/>
      <c r="H1103" s="56"/>
      <c r="J1103" s="57" t="str">
        <f t="shared" si="1"/>
        <v>ZuliaCabimasPunta Gorda</v>
      </c>
      <c r="K1103" s="50" t="s">
        <v>301</v>
      </c>
      <c r="L1103" s="50" t="s">
        <v>302</v>
      </c>
      <c r="M1103" s="50" t="s">
        <v>2633</v>
      </c>
      <c r="N1103" s="50" t="s">
        <v>2634</v>
      </c>
      <c r="O1103" s="50" t="s">
        <v>2651</v>
      </c>
      <c r="P1103" s="50" t="s">
        <v>2652</v>
      </c>
    </row>
    <row r="1104" ht="13.5" customHeight="1">
      <c r="B1104" s="54"/>
      <c r="C1104" s="38"/>
      <c r="D1104" s="55"/>
      <c r="E1104" s="56"/>
      <c r="F1104" s="55"/>
      <c r="G1104" s="55"/>
      <c r="H1104" s="56"/>
      <c r="J1104" s="57" t="str">
        <f t="shared" si="1"/>
        <v>ZuliaCatatumboEncontrados</v>
      </c>
      <c r="K1104" s="50" t="s">
        <v>301</v>
      </c>
      <c r="L1104" s="50" t="s">
        <v>302</v>
      </c>
      <c r="M1104" s="50" t="s">
        <v>2653</v>
      </c>
      <c r="N1104" s="50" t="s">
        <v>2654</v>
      </c>
      <c r="O1104" s="50" t="s">
        <v>2655</v>
      </c>
      <c r="P1104" s="50" t="s">
        <v>2656</v>
      </c>
    </row>
    <row r="1105" ht="13.5" customHeight="1">
      <c r="B1105" s="54"/>
      <c r="C1105" s="38"/>
      <c r="D1105" s="55"/>
      <c r="E1105" s="56"/>
      <c r="F1105" s="55"/>
      <c r="G1105" s="55"/>
      <c r="H1105" s="56"/>
      <c r="J1105" s="57" t="str">
        <f t="shared" si="1"/>
        <v>ZuliaCatatumboUdon Perez</v>
      </c>
      <c r="K1105" s="50" t="s">
        <v>301</v>
      </c>
      <c r="L1105" s="50" t="s">
        <v>302</v>
      </c>
      <c r="M1105" s="50" t="s">
        <v>2653</v>
      </c>
      <c r="N1105" s="50" t="s">
        <v>2654</v>
      </c>
      <c r="O1105" s="50" t="s">
        <v>2657</v>
      </c>
      <c r="P1105" s="50" t="s">
        <v>2658</v>
      </c>
    </row>
    <row r="1106" ht="13.5" customHeight="1">
      <c r="B1106" s="54"/>
      <c r="C1106" s="38"/>
      <c r="D1106" s="55"/>
      <c r="E1106" s="56"/>
      <c r="F1106" s="55"/>
      <c r="G1106" s="55"/>
      <c r="H1106" s="56"/>
      <c r="J1106" s="57" t="str">
        <f t="shared" si="1"/>
        <v>ZuliaColónSan Carlos Del Zulia</v>
      </c>
      <c r="K1106" s="50" t="s">
        <v>301</v>
      </c>
      <c r="L1106" s="50" t="s">
        <v>302</v>
      </c>
      <c r="M1106" s="50" t="s">
        <v>2659</v>
      </c>
      <c r="N1106" s="50" t="s">
        <v>2660</v>
      </c>
      <c r="O1106" s="50" t="s">
        <v>2661</v>
      </c>
      <c r="P1106" s="50" t="s">
        <v>2662</v>
      </c>
    </row>
    <row r="1107" ht="13.5" customHeight="1">
      <c r="B1107" s="54"/>
      <c r="C1107" s="38"/>
      <c r="D1107" s="55"/>
      <c r="E1107" s="56"/>
      <c r="F1107" s="55"/>
      <c r="G1107" s="55"/>
      <c r="H1107" s="56"/>
      <c r="J1107" s="57" t="str">
        <f t="shared" si="1"/>
        <v>ZuliaColónMoralito</v>
      </c>
      <c r="K1107" s="50" t="s">
        <v>301</v>
      </c>
      <c r="L1107" s="50" t="s">
        <v>302</v>
      </c>
      <c r="M1107" s="50" t="s">
        <v>2659</v>
      </c>
      <c r="N1107" s="50" t="s">
        <v>2660</v>
      </c>
      <c r="O1107" s="50" t="s">
        <v>2663</v>
      </c>
      <c r="P1107" s="50" t="s">
        <v>2664</v>
      </c>
    </row>
    <row r="1108" ht="13.5" customHeight="1">
      <c r="B1108" s="54"/>
      <c r="C1108" s="38"/>
      <c r="D1108" s="55"/>
      <c r="E1108" s="56"/>
      <c r="F1108" s="55"/>
      <c r="G1108" s="55"/>
      <c r="H1108" s="56"/>
      <c r="J1108" s="57" t="str">
        <f t="shared" si="1"/>
        <v>ZuliaColónSanta Barbará</v>
      </c>
      <c r="K1108" s="50" t="s">
        <v>301</v>
      </c>
      <c r="L1108" s="50" t="s">
        <v>302</v>
      </c>
      <c r="M1108" s="50" t="s">
        <v>2659</v>
      </c>
      <c r="N1108" s="50" t="s">
        <v>2660</v>
      </c>
      <c r="O1108" s="50" t="s">
        <v>2665</v>
      </c>
      <c r="P1108" s="50" t="s">
        <v>869</v>
      </c>
    </row>
    <row r="1109" ht="13.5" customHeight="1">
      <c r="B1109" s="54"/>
      <c r="C1109" s="38"/>
      <c r="D1109" s="55"/>
      <c r="E1109" s="56"/>
      <c r="F1109" s="55"/>
      <c r="G1109" s="55"/>
      <c r="H1109" s="56"/>
      <c r="J1109" s="57" t="str">
        <f t="shared" si="1"/>
        <v>ZuliaColónSanta Cruz Del Zulia</v>
      </c>
      <c r="K1109" s="50" t="s">
        <v>301</v>
      </c>
      <c r="L1109" s="50" t="s">
        <v>302</v>
      </c>
      <c r="M1109" s="50" t="s">
        <v>2659</v>
      </c>
      <c r="N1109" s="50" t="s">
        <v>2660</v>
      </c>
      <c r="O1109" s="50" t="s">
        <v>2666</v>
      </c>
      <c r="P1109" s="50" t="s">
        <v>2667</v>
      </c>
    </row>
    <row r="1110" ht="13.5" customHeight="1">
      <c r="B1110" s="54"/>
      <c r="C1110" s="38"/>
      <c r="D1110" s="55"/>
      <c r="E1110" s="56"/>
      <c r="F1110" s="55"/>
      <c r="G1110" s="55"/>
      <c r="H1110" s="56"/>
      <c r="J1110" s="57" t="str">
        <f t="shared" si="1"/>
        <v>ZuliaColónUrribarri</v>
      </c>
      <c r="K1110" s="50" t="s">
        <v>301</v>
      </c>
      <c r="L1110" s="50" t="s">
        <v>302</v>
      </c>
      <c r="M1110" s="50" t="s">
        <v>2659</v>
      </c>
      <c r="N1110" s="50" t="s">
        <v>2660</v>
      </c>
      <c r="O1110" s="50" t="s">
        <v>2668</v>
      </c>
      <c r="P1110" s="50" t="s">
        <v>2669</v>
      </c>
    </row>
    <row r="1111" ht="13.5" customHeight="1">
      <c r="B1111" s="54"/>
      <c r="C1111" s="38"/>
      <c r="D1111" s="55"/>
      <c r="E1111" s="56"/>
      <c r="F1111" s="55"/>
      <c r="G1111" s="55"/>
      <c r="H1111" s="56"/>
      <c r="J1111" s="57" t="str">
        <f t="shared" si="1"/>
        <v>ZuliaFrancisco Javier PulgarSimón Rodríguez</v>
      </c>
      <c r="K1111" s="50" t="s">
        <v>301</v>
      </c>
      <c r="L1111" s="50" t="s">
        <v>302</v>
      </c>
      <c r="M1111" s="50" t="s">
        <v>2670</v>
      </c>
      <c r="N1111" s="50" t="s">
        <v>2671</v>
      </c>
      <c r="O1111" s="50" t="s">
        <v>2672</v>
      </c>
      <c r="P1111" s="50" t="s">
        <v>330</v>
      </c>
    </row>
    <row r="1112" ht="13.5" customHeight="1">
      <c r="B1112" s="54"/>
      <c r="C1112" s="38"/>
      <c r="D1112" s="55"/>
      <c r="E1112" s="56"/>
      <c r="F1112" s="55"/>
      <c r="G1112" s="55"/>
      <c r="H1112" s="56"/>
      <c r="J1112" s="57" t="str">
        <f t="shared" si="1"/>
        <v>ZuliaFrancisco Javier PulgarCarlos Quevedo</v>
      </c>
      <c r="K1112" s="50" t="s">
        <v>301</v>
      </c>
      <c r="L1112" s="50" t="s">
        <v>302</v>
      </c>
      <c r="M1112" s="50" t="s">
        <v>2670</v>
      </c>
      <c r="N1112" s="50" t="s">
        <v>2671</v>
      </c>
      <c r="O1112" s="50" t="s">
        <v>2673</v>
      </c>
      <c r="P1112" s="50" t="s">
        <v>2674</v>
      </c>
    </row>
    <row r="1113" ht="13.5" customHeight="1">
      <c r="B1113" s="54"/>
      <c r="C1113" s="38"/>
      <c r="D1113" s="55"/>
      <c r="E1113" s="56"/>
      <c r="F1113" s="55"/>
      <c r="G1113" s="55"/>
      <c r="H1113" s="56"/>
      <c r="J1113" s="57" t="str">
        <f t="shared" si="1"/>
        <v>ZuliaFrancisco Javier PulgarFrancisco Javier Pulgar</v>
      </c>
      <c r="K1113" s="50" t="s">
        <v>301</v>
      </c>
      <c r="L1113" s="50" t="s">
        <v>302</v>
      </c>
      <c r="M1113" s="50" t="s">
        <v>2670</v>
      </c>
      <c r="N1113" s="50" t="s">
        <v>2671</v>
      </c>
      <c r="O1113" s="50" t="s">
        <v>2675</v>
      </c>
      <c r="P1113" s="50" t="s">
        <v>2671</v>
      </c>
    </row>
    <row r="1114" ht="13.5" customHeight="1">
      <c r="B1114" s="54"/>
      <c r="C1114" s="38"/>
      <c r="D1114" s="55"/>
      <c r="E1114" s="56"/>
      <c r="F1114" s="55"/>
      <c r="G1114" s="55"/>
      <c r="H1114" s="56"/>
      <c r="J1114" s="57" t="str">
        <f t="shared" si="1"/>
        <v>ZuliaJesus Enrique LossadaLa Concepción</v>
      </c>
      <c r="K1114" s="50" t="s">
        <v>301</v>
      </c>
      <c r="L1114" s="50" t="s">
        <v>302</v>
      </c>
      <c r="M1114" s="50" t="s">
        <v>2676</v>
      </c>
      <c r="N1114" s="50" t="s">
        <v>2677</v>
      </c>
      <c r="O1114" s="50" t="s">
        <v>2678</v>
      </c>
      <c r="P1114" s="50" t="s">
        <v>2449</v>
      </c>
    </row>
    <row r="1115" ht="13.5" customHeight="1">
      <c r="B1115" s="54"/>
      <c r="C1115" s="38"/>
      <c r="D1115" s="55"/>
      <c r="E1115" s="56"/>
      <c r="F1115" s="55"/>
      <c r="G1115" s="55"/>
      <c r="H1115" s="56"/>
      <c r="J1115" s="57" t="str">
        <f t="shared" si="1"/>
        <v>ZuliaJesus Enrique LossadaJosé Ramón Yepez</v>
      </c>
      <c r="K1115" s="50" t="s">
        <v>301</v>
      </c>
      <c r="L1115" s="50" t="s">
        <v>302</v>
      </c>
      <c r="M1115" s="50" t="s">
        <v>2676</v>
      </c>
      <c r="N1115" s="50" t="s">
        <v>2677</v>
      </c>
      <c r="O1115" s="50" t="s">
        <v>2679</v>
      </c>
      <c r="P1115" s="50" t="s">
        <v>2680</v>
      </c>
    </row>
    <row r="1116" ht="13.5" customHeight="1">
      <c r="B1116" s="54"/>
      <c r="C1116" s="38"/>
      <c r="D1116" s="55"/>
      <c r="E1116" s="56"/>
      <c r="F1116" s="55"/>
      <c r="G1116" s="55"/>
      <c r="H1116" s="56"/>
      <c r="J1116" s="57" t="str">
        <f t="shared" si="1"/>
        <v>ZuliaJesus Enrique LossadaMariano Parra León</v>
      </c>
      <c r="K1116" s="50" t="s">
        <v>301</v>
      </c>
      <c r="L1116" s="50" t="s">
        <v>302</v>
      </c>
      <c r="M1116" s="50" t="s">
        <v>2676</v>
      </c>
      <c r="N1116" s="50" t="s">
        <v>2677</v>
      </c>
      <c r="O1116" s="50" t="s">
        <v>2681</v>
      </c>
      <c r="P1116" s="50" t="s">
        <v>2682</v>
      </c>
    </row>
    <row r="1117" ht="13.5" customHeight="1">
      <c r="B1117" s="54"/>
      <c r="C1117" s="38"/>
      <c r="D1117" s="55"/>
      <c r="E1117" s="56"/>
      <c r="F1117" s="55"/>
      <c r="G1117" s="55"/>
      <c r="H1117" s="56"/>
      <c r="J1117" s="57" t="str">
        <f t="shared" si="1"/>
        <v>ZuliaJesus Enrique LossadaSan José</v>
      </c>
      <c r="K1117" s="50" t="s">
        <v>301</v>
      </c>
      <c r="L1117" s="50" t="s">
        <v>302</v>
      </c>
      <c r="M1117" s="50" t="s">
        <v>2676</v>
      </c>
      <c r="N1117" s="50" t="s">
        <v>2677</v>
      </c>
      <c r="O1117" s="50" t="s">
        <v>2683</v>
      </c>
      <c r="P1117" s="50" t="s">
        <v>247</v>
      </c>
    </row>
    <row r="1118" ht="13.5" customHeight="1">
      <c r="B1118" s="54"/>
      <c r="C1118" s="38"/>
      <c r="D1118" s="55"/>
      <c r="E1118" s="56"/>
      <c r="F1118" s="55"/>
      <c r="G1118" s="55"/>
      <c r="H1118" s="56"/>
      <c r="J1118" s="57" t="str">
        <f t="shared" si="1"/>
        <v>ZuliaJesus Maria SemprumJesús María Semprum</v>
      </c>
      <c r="K1118" s="50" t="s">
        <v>301</v>
      </c>
      <c r="L1118" s="50" t="s">
        <v>302</v>
      </c>
      <c r="M1118" s="50" t="s">
        <v>2684</v>
      </c>
      <c r="N1118" s="50" t="s">
        <v>2685</v>
      </c>
      <c r="O1118" s="50" t="s">
        <v>2686</v>
      </c>
      <c r="P1118" s="50" t="s">
        <v>2687</v>
      </c>
    </row>
    <row r="1119" ht="13.5" customHeight="1">
      <c r="B1119" s="54"/>
      <c r="C1119" s="38"/>
      <c r="D1119" s="55"/>
      <c r="E1119" s="56"/>
      <c r="F1119" s="55"/>
      <c r="G1119" s="55"/>
      <c r="H1119" s="56"/>
      <c r="J1119" s="57" t="str">
        <f t="shared" si="1"/>
        <v>ZuliaJesus Maria SemprumBari</v>
      </c>
      <c r="K1119" s="50" t="s">
        <v>301</v>
      </c>
      <c r="L1119" s="50" t="s">
        <v>302</v>
      </c>
      <c r="M1119" s="50" t="s">
        <v>2684</v>
      </c>
      <c r="N1119" s="50" t="s">
        <v>2685</v>
      </c>
      <c r="O1119" s="50" t="s">
        <v>2688</v>
      </c>
      <c r="P1119" s="50" t="s">
        <v>2689</v>
      </c>
    </row>
    <row r="1120" ht="13.5" customHeight="1">
      <c r="B1120" s="54"/>
      <c r="C1120" s="38"/>
      <c r="D1120" s="55"/>
      <c r="E1120" s="56"/>
      <c r="F1120" s="55"/>
      <c r="G1120" s="55"/>
      <c r="H1120" s="56"/>
      <c r="J1120" s="57" t="str">
        <f t="shared" si="1"/>
        <v>ZuliaLa Cañada De UrdanetaConcepción</v>
      </c>
      <c r="K1120" s="50" t="s">
        <v>301</v>
      </c>
      <c r="L1120" s="50" t="s">
        <v>302</v>
      </c>
      <c r="M1120" s="50" t="s">
        <v>2690</v>
      </c>
      <c r="N1120" s="50" t="s">
        <v>2691</v>
      </c>
      <c r="O1120" s="50" t="s">
        <v>2692</v>
      </c>
      <c r="P1120" s="50" t="s">
        <v>1467</v>
      </c>
    </row>
    <row r="1121" ht="13.5" customHeight="1">
      <c r="B1121" s="54"/>
      <c r="C1121" s="38"/>
      <c r="D1121" s="55"/>
      <c r="E1121" s="56"/>
      <c r="F1121" s="55"/>
      <c r="G1121" s="55"/>
      <c r="H1121" s="56"/>
      <c r="J1121" s="57" t="str">
        <f t="shared" si="1"/>
        <v>ZuliaLa Cañada De UrdanetaAndrés Bello</v>
      </c>
      <c r="K1121" s="50" t="s">
        <v>301</v>
      </c>
      <c r="L1121" s="50" t="s">
        <v>302</v>
      </c>
      <c r="M1121" s="50" t="s">
        <v>2690</v>
      </c>
      <c r="N1121" s="50" t="s">
        <v>2691</v>
      </c>
      <c r="O1121" s="50" t="s">
        <v>2693</v>
      </c>
      <c r="P1121" s="50" t="s">
        <v>464</v>
      </c>
    </row>
    <row r="1122" ht="13.5" customHeight="1">
      <c r="B1122" s="54"/>
      <c r="C1122" s="38"/>
      <c r="D1122" s="55"/>
      <c r="E1122" s="56"/>
      <c r="F1122" s="55"/>
      <c r="G1122" s="55"/>
      <c r="H1122" s="56"/>
      <c r="J1122" s="57" t="str">
        <f t="shared" si="1"/>
        <v>ZuliaLa Cañada De UrdanetaChiquinquira</v>
      </c>
      <c r="K1122" s="50" t="s">
        <v>301</v>
      </c>
      <c r="L1122" s="50" t="s">
        <v>302</v>
      </c>
      <c r="M1122" s="50" t="s">
        <v>2690</v>
      </c>
      <c r="N1122" s="50" t="s">
        <v>2691</v>
      </c>
      <c r="O1122" s="50" t="s">
        <v>2694</v>
      </c>
      <c r="P1122" s="50" t="s">
        <v>1536</v>
      </c>
    </row>
    <row r="1123" ht="13.5" customHeight="1">
      <c r="B1123" s="54"/>
      <c r="C1123" s="38"/>
      <c r="D1123" s="55"/>
      <c r="E1123" s="56"/>
      <c r="F1123" s="55"/>
      <c r="G1123" s="55"/>
      <c r="H1123" s="56"/>
      <c r="J1123" s="57" t="str">
        <f t="shared" si="1"/>
        <v>ZuliaLa Cañada De UrdanetaEl Carmelo</v>
      </c>
      <c r="K1123" s="50" t="s">
        <v>301</v>
      </c>
      <c r="L1123" s="50" t="s">
        <v>302</v>
      </c>
      <c r="M1123" s="50" t="s">
        <v>2690</v>
      </c>
      <c r="N1123" s="50" t="s">
        <v>2691</v>
      </c>
      <c r="O1123" s="50" t="s">
        <v>2695</v>
      </c>
      <c r="P1123" s="50" t="s">
        <v>2696</v>
      </c>
    </row>
    <row r="1124" ht="13.5" customHeight="1">
      <c r="B1124" s="54"/>
      <c r="C1124" s="38"/>
      <c r="D1124" s="55"/>
      <c r="E1124" s="56"/>
      <c r="F1124" s="55"/>
      <c r="G1124" s="55"/>
      <c r="H1124" s="56"/>
      <c r="J1124" s="57" t="str">
        <f t="shared" si="1"/>
        <v>ZuliaLa Cañada De UrdanetaPotreritos</v>
      </c>
      <c r="K1124" s="50" t="s">
        <v>301</v>
      </c>
      <c r="L1124" s="50" t="s">
        <v>302</v>
      </c>
      <c r="M1124" s="50" t="s">
        <v>2690</v>
      </c>
      <c r="N1124" s="50" t="s">
        <v>2691</v>
      </c>
      <c r="O1124" s="50" t="s">
        <v>2697</v>
      </c>
      <c r="P1124" s="50" t="s">
        <v>2698</v>
      </c>
    </row>
    <row r="1125" ht="13.5" customHeight="1">
      <c r="B1125" s="54"/>
      <c r="C1125" s="38"/>
      <c r="D1125" s="55"/>
      <c r="E1125" s="56"/>
      <c r="F1125" s="55"/>
      <c r="G1125" s="55"/>
      <c r="H1125" s="56"/>
      <c r="J1125" s="57" t="str">
        <f t="shared" si="1"/>
        <v>ZuliaLagunillasAlonso De Ojeda</v>
      </c>
      <c r="K1125" s="50" t="s">
        <v>301</v>
      </c>
      <c r="L1125" s="50" t="s">
        <v>302</v>
      </c>
      <c r="M1125" s="50" t="s">
        <v>2699</v>
      </c>
      <c r="N1125" s="50" t="s">
        <v>2700</v>
      </c>
      <c r="O1125" s="50" t="s">
        <v>2701</v>
      </c>
      <c r="P1125" s="50" t="s">
        <v>2702</v>
      </c>
    </row>
    <row r="1126" ht="13.5" customHeight="1">
      <c r="B1126" s="54"/>
      <c r="C1126" s="38"/>
      <c r="D1126" s="55"/>
      <c r="E1126" s="56"/>
      <c r="F1126" s="55"/>
      <c r="G1126" s="55"/>
      <c r="H1126" s="56"/>
      <c r="J1126" s="57" t="str">
        <f t="shared" si="1"/>
        <v>ZuliaLagunillasLibertad</v>
      </c>
      <c r="K1126" s="50" t="s">
        <v>301</v>
      </c>
      <c r="L1126" s="50" t="s">
        <v>302</v>
      </c>
      <c r="M1126" s="50" t="s">
        <v>2699</v>
      </c>
      <c r="N1126" s="50" t="s">
        <v>2700</v>
      </c>
      <c r="O1126" s="50" t="s">
        <v>2703</v>
      </c>
      <c r="P1126" s="50" t="s">
        <v>273</v>
      </c>
    </row>
    <row r="1127" ht="13.5" customHeight="1">
      <c r="B1127" s="54"/>
      <c r="C1127" s="38"/>
      <c r="D1127" s="55"/>
      <c r="E1127" s="56"/>
      <c r="F1127" s="55"/>
      <c r="G1127" s="55"/>
      <c r="H1127" s="56"/>
      <c r="J1127" s="57" t="str">
        <f t="shared" si="1"/>
        <v>ZuliaLagunillasCampo Lara</v>
      </c>
      <c r="K1127" s="50" t="s">
        <v>301</v>
      </c>
      <c r="L1127" s="50" t="s">
        <v>302</v>
      </c>
      <c r="M1127" s="50" t="s">
        <v>2699</v>
      </c>
      <c r="N1127" s="50" t="s">
        <v>2700</v>
      </c>
      <c r="O1127" s="50" t="s">
        <v>2704</v>
      </c>
      <c r="P1127" s="50" t="s">
        <v>2705</v>
      </c>
    </row>
    <row r="1128" ht="13.5" customHeight="1">
      <c r="B1128" s="54"/>
      <c r="C1128" s="38"/>
      <c r="D1128" s="55"/>
      <c r="E1128" s="56"/>
      <c r="F1128" s="55"/>
      <c r="G1128" s="55"/>
      <c r="H1128" s="56"/>
      <c r="J1128" s="57" t="str">
        <f t="shared" si="1"/>
        <v>ZuliaLagunillasEleazar López Contreras</v>
      </c>
      <c r="K1128" s="50" t="s">
        <v>301</v>
      </c>
      <c r="L1128" s="50" t="s">
        <v>302</v>
      </c>
      <c r="M1128" s="50" t="s">
        <v>2699</v>
      </c>
      <c r="N1128" s="50" t="s">
        <v>2700</v>
      </c>
      <c r="O1128" s="50" t="s">
        <v>2706</v>
      </c>
      <c r="P1128" s="50" t="s">
        <v>2378</v>
      </c>
    </row>
    <row r="1129" ht="13.5" customHeight="1">
      <c r="B1129" s="54"/>
      <c r="C1129" s="38"/>
      <c r="D1129" s="55"/>
      <c r="E1129" s="56"/>
      <c r="F1129" s="55"/>
      <c r="G1129" s="55"/>
      <c r="H1129" s="56"/>
      <c r="J1129" s="57" t="str">
        <f t="shared" si="1"/>
        <v>ZuliaLagunillasVenezuela</v>
      </c>
      <c r="K1129" s="50" t="s">
        <v>301</v>
      </c>
      <c r="L1129" s="50" t="s">
        <v>302</v>
      </c>
      <c r="M1129" s="50" t="s">
        <v>2699</v>
      </c>
      <c r="N1129" s="50" t="s">
        <v>2700</v>
      </c>
      <c r="O1129" s="50" t="s">
        <v>2707</v>
      </c>
      <c r="P1129" s="50" t="s">
        <v>2708</v>
      </c>
    </row>
    <row r="1130" ht="13.5" customHeight="1">
      <c r="B1130" s="54"/>
      <c r="C1130" s="38"/>
      <c r="D1130" s="55"/>
      <c r="E1130" s="56"/>
      <c r="F1130" s="55"/>
      <c r="G1130" s="55"/>
      <c r="H1130" s="56"/>
      <c r="J1130" s="57" t="str">
        <f t="shared" si="1"/>
        <v>ZuliaLagunillasEl Danto</v>
      </c>
      <c r="K1130" s="50" t="s">
        <v>301</v>
      </c>
      <c r="L1130" s="50" t="s">
        <v>302</v>
      </c>
      <c r="M1130" s="50" t="s">
        <v>2699</v>
      </c>
      <c r="N1130" s="50" t="s">
        <v>2700</v>
      </c>
      <c r="O1130" s="50" t="s">
        <v>2709</v>
      </c>
      <c r="P1130" s="50" t="s">
        <v>2710</v>
      </c>
    </row>
    <row r="1131" ht="13.5" customHeight="1">
      <c r="B1131" s="54"/>
      <c r="C1131" s="38"/>
      <c r="D1131" s="55"/>
      <c r="E1131" s="56"/>
      <c r="F1131" s="55"/>
      <c r="G1131" s="55"/>
      <c r="H1131" s="56"/>
      <c r="J1131" s="57" t="str">
        <f t="shared" si="1"/>
        <v>ZuliaMachiques De PerijáLibertad</v>
      </c>
      <c r="K1131" s="50" t="s">
        <v>301</v>
      </c>
      <c r="L1131" s="50" t="s">
        <v>302</v>
      </c>
      <c r="M1131" s="50" t="s">
        <v>2711</v>
      </c>
      <c r="N1131" s="50" t="s">
        <v>2712</v>
      </c>
      <c r="O1131" s="50" t="s">
        <v>2713</v>
      </c>
      <c r="P1131" s="50" t="s">
        <v>273</v>
      </c>
    </row>
    <row r="1132" ht="13.5" customHeight="1">
      <c r="B1132" s="54"/>
      <c r="C1132" s="38"/>
      <c r="D1132" s="55"/>
      <c r="E1132" s="56"/>
      <c r="F1132" s="55"/>
      <c r="G1132" s="55"/>
      <c r="H1132" s="56"/>
      <c r="J1132" s="57" t="str">
        <f t="shared" si="1"/>
        <v>ZuliaMachiques De PerijáBartolomé De Las Casas</v>
      </c>
      <c r="K1132" s="50" t="s">
        <v>301</v>
      </c>
      <c r="L1132" s="50" t="s">
        <v>302</v>
      </c>
      <c r="M1132" s="50" t="s">
        <v>2711</v>
      </c>
      <c r="N1132" s="50" t="s">
        <v>2712</v>
      </c>
      <c r="O1132" s="50" t="s">
        <v>2714</v>
      </c>
      <c r="P1132" s="50" t="s">
        <v>2715</v>
      </c>
    </row>
    <row r="1133" ht="13.5" customHeight="1">
      <c r="B1133" s="54"/>
      <c r="C1133" s="38"/>
      <c r="D1133" s="55"/>
      <c r="E1133" s="56"/>
      <c r="F1133" s="55"/>
      <c r="G1133" s="55"/>
      <c r="H1133" s="56"/>
      <c r="J1133" s="57" t="str">
        <f t="shared" si="1"/>
        <v>ZuliaMachiques De PerijáRio Negro</v>
      </c>
      <c r="K1133" s="50" t="s">
        <v>301</v>
      </c>
      <c r="L1133" s="50" t="s">
        <v>302</v>
      </c>
      <c r="M1133" s="50" t="s">
        <v>2711</v>
      </c>
      <c r="N1133" s="50" t="s">
        <v>2712</v>
      </c>
      <c r="O1133" s="50" t="s">
        <v>2716</v>
      </c>
      <c r="P1133" s="50" t="s">
        <v>1642</v>
      </c>
    </row>
    <row r="1134" ht="13.5" customHeight="1">
      <c r="B1134" s="54"/>
      <c r="C1134" s="38"/>
      <c r="D1134" s="55"/>
      <c r="E1134" s="56"/>
      <c r="F1134" s="55"/>
      <c r="G1134" s="55"/>
      <c r="H1134" s="56"/>
      <c r="J1134" s="57" t="str">
        <f t="shared" si="1"/>
        <v>ZuliaMachiques De PerijáSan José De Perija</v>
      </c>
      <c r="K1134" s="50" t="s">
        <v>301</v>
      </c>
      <c r="L1134" s="50" t="s">
        <v>302</v>
      </c>
      <c r="M1134" s="50" t="s">
        <v>2711</v>
      </c>
      <c r="N1134" s="50" t="s">
        <v>2712</v>
      </c>
      <c r="O1134" s="50" t="s">
        <v>2717</v>
      </c>
      <c r="P1134" s="50" t="s">
        <v>2718</v>
      </c>
    </row>
    <row r="1135" ht="13.5" customHeight="1">
      <c r="B1135" s="54"/>
      <c r="C1135" s="38"/>
      <c r="D1135" s="55"/>
      <c r="E1135" s="56"/>
      <c r="F1135" s="55"/>
      <c r="G1135" s="55"/>
      <c r="H1135" s="56"/>
      <c r="J1135" s="57" t="str">
        <f t="shared" si="1"/>
        <v>ZuliaMaraSan Rafael</v>
      </c>
      <c r="K1135" s="50" t="s">
        <v>301</v>
      </c>
      <c r="L1135" s="50" t="s">
        <v>302</v>
      </c>
      <c r="M1135" s="50" t="s">
        <v>2719</v>
      </c>
      <c r="N1135" s="50" t="s">
        <v>2720</v>
      </c>
      <c r="O1135" s="50" t="s">
        <v>2721</v>
      </c>
      <c r="P1135" s="50" t="s">
        <v>1174</v>
      </c>
    </row>
    <row r="1136" ht="13.5" customHeight="1">
      <c r="B1136" s="54"/>
      <c r="C1136" s="38"/>
      <c r="D1136" s="55"/>
      <c r="E1136" s="56"/>
      <c r="F1136" s="55"/>
      <c r="G1136" s="55"/>
      <c r="H1136" s="56"/>
      <c r="J1136" s="57" t="str">
        <f t="shared" si="1"/>
        <v>ZuliaMaraLa Sierrita</v>
      </c>
      <c r="K1136" s="50" t="s">
        <v>301</v>
      </c>
      <c r="L1136" s="50" t="s">
        <v>302</v>
      </c>
      <c r="M1136" s="50" t="s">
        <v>2719</v>
      </c>
      <c r="N1136" s="50" t="s">
        <v>2720</v>
      </c>
      <c r="O1136" s="50" t="s">
        <v>2722</v>
      </c>
      <c r="P1136" s="50" t="s">
        <v>2723</v>
      </c>
    </row>
    <row r="1137" ht="13.5" customHeight="1">
      <c r="B1137" s="54"/>
      <c r="C1137" s="38"/>
      <c r="D1137" s="55"/>
      <c r="E1137" s="56"/>
      <c r="F1137" s="55"/>
      <c r="G1137" s="55"/>
      <c r="H1137" s="56"/>
      <c r="J1137" s="57" t="str">
        <f t="shared" si="1"/>
        <v>ZuliaMaraLas Parcelas</v>
      </c>
      <c r="K1137" s="50" t="s">
        <v>301</v>
      </c>
      <c r="L1137" s="50" t="s">
        <v>302</v>
      </c>
      <c r="M1137" s="50" t="s">
        <v>2719</v>
      </c>
      <c r="N1137" s="50" t="s">
        <v>2720</v>
      </c>
      <c r="O1137" s="50" t="s">
        <v>2724</v>
      </c>
      <c r="P1137" s="50" t="s">
        <v>2725</v>
      </c>
    </row>
    <row r="1138" ht="13.5" customHeight="1">
      <c r="B1138" s="54"/>
      <c r="C1138" s="38"/>
      <c r="D1138" s="55"/>
      <c r="E1138" s="56"/>
      <c r="F1138" s="55"/>
      <c r="G1138" s="55"/>
      <c r="H1138" s="56"/>
      <c r="J1138" s="57" t="str">
        <f t="shared" si="1"/>
        <v>ZuliaMaraLuis De Vicente</v>
      </c>
      <c r="K1138" s="50" t="s">
        <v>301</v>
      </c>
      <c r="L1138" s="50" t="s">
        <v>302</v>
      </c>
      <c r="M1138" s="50" t="s">
        <v>2719</v>
      </c>
      <c r="N1138" s="50" t="s">
        <v>2720</v>
      </c>
      <c r="O1138" s="50" t="s">
        <v>2726</v>
      </c>
      <c r="P1138" s="50" t="s">
        <v>2727</v>
      </c>
    </row>
    <row r="1139" ht="13.5" customHeight="1">
      <c r="B1139" s="54"/>
      <c r="C1139" s="38"/>
      <c r="D1139" s="55"/>
      <c r="E1139" s="56"/>
      <c r="F1139" s="55"/>
      <c r="G1139" s="55"/>
      <c r="H1139" s="56"/>
      <c r="J1139" s="57" t="str">
        <f t="shared" si="1"/>
        <v>ZuliaMaraMonseñor Marcos Sergio Godoy</v>
      </c>
      <c r="K1139" s="50" t="s">
        <v>301</v>
      </c>
      <c r="L1139" s="50" t="s">
        <v>302</v>
      </c>
      <c r="M1139" s="50" t="s">
        <v>2719</v>
      </c>
      <c r="N1139" s="50" t="s">
        <v>2720</v>
      </c>
      <c r="O1139" s="50" t="s">
        <v>2728</v>
      </c>
      <c r="P1139" s="50" t="s">
        <v>2729</v>
      </c>
    </row>
    <row r="1140" ht="13.5" customHeight="1">
      <c r="B1140" s="54"/>
      <c r="C1140" s="38"/>
      <c r="D1140" s="55"/>
      <c r="E1140" s="56"/>
      <c r="F1140" s="55"/>
      <c r="G1140" s="55"/>
      <c r="H1140" s="56"/>
      <c r="J1140" s="57" t="str">
        <f t="shared" si="1"/>
        <v>ZuliaMaraRicaurte</v>
      </c>
      <c r="K1140" s="50" t="s">
        <v>301</v>
      </c>
      <c r="L1140" s="50" t="s">
        <v>302</v>
      </c>
      <c r="M1140" s="50" t="s">
        <v>2719</v>
      </c>
      <c r="N1140" s="50" t="s">
        <v>2720</v>
      </c>
      <c r="O1140" s="50" t="s">
        <v>2730</v>
      </c>
      <c r="P1140" s="50" t="s">
        <v>505</v>
      </c>
    </row>
    <row r="1141" ht="13.5" customHeight="1">
      <c r="B1141" s="54"/>
      <c r="C1141" s="38"/>
      <c r="D1141" s="55"/>
      <c r="E1141" s="56"/>
      <c r="F1141" s="55"/>
      <c r="G1141" s="55"/>
      <c r="H1141" s="56"/>
      <c r="J1141" s="57" t="str">
        <f t="shared" si="1"/>
        <v>ZuliaMaraTamare</v>
      </c>
      <c r="K1141" s="50" t="s">
        <v>301</v>
      </c>
      <c r="L1141" s="50" t="s">
        <v>302</v>
      </c>
      <c r="M1141" s="50" t="s">
        <v>2719</v>
      </c>
      <c r="N1141" s="50" t="s">
        <v>2720</v>
      </c>
      <c r="O1141" s="50" t="s">
        <v>2731</v>
      </c>
      <c r="P1141" s="50" t="s">
        <v>2732</v>
      </c>
    </row>
    <row r="1142" ht="13.5" customHeight="1">
      <c r="B1142" s="54"/>
      <c r="C1142" s="38"/>
      <c r="D1142" s="55"/>
      <c r="E1142" s="56"/>
      <c r="F1142" s="55"/>
      <c r="G1142" s="55"/>
      <c r="H1142" s="56"/>
      <c r="J1142" s="57" t="str">
        <f t="shared" si="1"/>
        <v>ZuliaMaracaiboAntonio Borjas Romero</v>
      </c>
      <c r="K1142" s="50" t="s">
        <v>301</v>
      </c>
      <c r="L1142" s="50" t="s">
        <v>302</v>
      </c>
      <c r="M1142" s="50" t="s">
        <v>2733</v>
      </c>
      <c r="N1142" s="50" t="s">
        <v>2734</v>
      </c>
      <c r="O1142" s="50" t="s">
        <v>2735</v>
      </c>
      <c r="P1142" s="50" t="s">
        <v>2736</v>
      </c>
    </row>
    <row r="1143" ht="13.5" customHeight="1">
      <c r="B1143" s="54"/>
      <c r="C1143" s="38"/>
      <c r="D1143" s="55"/>
      <c r="E1143" s="56"/>
      <c r="F1143" s="55"/>
      <c r="G1143" s="55"/>
      <c r="H1143" s="56"/>
      <c r="J1143" s="57" t="str">
        <f t="shared" si="1"/>
        <v>ZuliaMaracaiboBolívar</v>
      </c>
      <c r="K1143" s="50" t="s">
        <v>301</v>
      </c>
      <c r="L1143" s="50" t="s">
        <v>302</v>
      </c>
      <c r="M1143" s="50" t="s">
        <v>2733</v>
      </c>
      <c r="N1143" s="50" t="s">
        <v>2734</v>
      </c>
      <c r="O1143" s="50" t="s">
        <v>2737</v>
      </c>
      <c r="P1143" s="50" t="s">
        <v>129</v>
      </c>
    </row>
    <row r="1144" ht="13.5" customHeight="1">
      <c r="B1144" s="54"/>
      <c r="C1144" s="38"/>
      <c r="D1144" s="55"/>
      <c r="E1144" s="56"/>
      <c r="F1144" s="55"/>
      <c r="G1144" s="55"/>
      <c r="H1144" s="56"/>
      <c r="J1144" s="57" t="str">
        <f t="shared" si="1"/>
        <v>ZuliaMaracaiboCacique Mara</v>
      </c>
      <c r="K1144" s="50" t="s">
        <v>301</v>
      </c>
      <c r="L1144" s="50" t="s">
        <v>302</v>
      </c>
      <c r="M1144" s="50" t="s">
        <v>2733</v>
      </c>
      <c r="N1144" s="50" t="s">
        <v>2734</v>
      </c>
      <c r="O1144" s="50" t="s">
        <v>2738</v>
      </c>
      <c r="P1144" s="50" t="s">
        <v>2739</v>
      </c>
    </row>
    <row r="1145" ht="13.5" customHeight="1">
      <c r="B1145" s="54"/>
      <c r="C1145" s="38"/>
      <c r="D1145" s="55"/>
      <c r="E1145" s="56"/>
      <c r="F1145" s="55"/>
      <c r="G1145" s="55"/>
      <c r="H1145" s="56"/>
      <c r="J1145" s="57" t="str">
        <f t="shared" si="1"/>
        <v>ZuliaMaracaiboCaracciolo Parra Perez</v>
      </c>
      <c r="K1145" s="50" t="s">
        <v>301</v>
      </c>
      <c r="L1145" s="50" t="s">
        <v>302</v>
      </c>
      <c r="M1145" s="50" t="s">
        <v>2733</v>
      </c>
      <c r="N1145" s="50" t="s">
        <v>2734</v>
      </c>
      <c r="O1145" s="50" t="s">
        <v>2740</v>
      </c>
      <c r="P1145" s="50" t="s">
        <v>1659</v>
      </c>
    </row>
    <row r="1146" ht="13.5" customHeight="1">
      <c r="B1146" s="54"/>
      <c r="C1146" s="38"/>
      <c r="D1146" s="55"/>
      <c r="E1146" s="56"/>
      <c r="F1146" s="55"/>
      <c r="G1146" s="55"/>
      <c r="H1146" s="56"/>
      <c r="J1146" s="57" t="str">
        <f t="shared" si="1"/>
        <v>ZuliaMaracaiboCecilio Acosta</v>
      </c>
      <c r="K1146" s="50" t="s">
        <v>301</v>
      </c>
      <c r="L1146" s="50" t="s">
        <v>302</v>
      </c>
      <c r="M1146" s="50" t="s">
        <v>2733</v>
      </c>
      <c r="N1146" s="50" t="s">
        <v>2734</v>
      </c>
      <c r="O1146" s="50" t="s">
        <v>2741</v>
      </c>
      <c r="P1146" s="50" t="s">
        <v>1821</v>
      </c>
    </row>
    <row r="1147" ht="13.5" customHeight="1">
      <c r="B1147" s="54"/>
      <c r="C1147" s="38"/>
      <c r="D1147" s="55"/>
      <c r="E1147" s="56"/>
      <c r="F1147" s="55"/>
      <c r="G1147" s="55"/>
      <c r="H1147" s="56"/>
      <c r="J1147" s="57" t="str">
        <f t="shared" si="1"/>
        <v>ZuliaMaracaiboCristo De Aranza</v>
      </c>
      <c r="K1147" s="50" t="s">
        <v>301</v>
      </c>
      <c r="L1147" s="50" t="s">
        <v>302</v>
      </c>
      <c r="M1147" s="50" t="s">
        <v>2733</v>
      </c>
      <c r="N1147" s="50" t="s">
        <v>2734</v>
      </c>
      <c r="O1147" s="50" t="s">
        <v>2742</v>
      </c>
      <c r="P1147" s="50" t="s">
        <v>2743</v>
      </c>
    </row>
    <row r="1148" ht="13.5" customHeight="1">
      <c r="B1148" s="54"/>
      <c r="C1148" s="38"/>
      <c r="D1148" s="55"/>
      <c r="E1148" s="56"/>
      <c r="F1148" s="55"/>
      <c r="G1148" s="55"/>
      <c r="H1148" s="56"/>
      <c r="J1148" s="57" t="str">
        <f t="shared" si="1"/>
        <v>ZuliaMaracaiboCoquivacoa</v>
      </c>
      <c r="K1148" s="50" t="s">
        <v>301</v>
      </c>
      <c r="L1148" s="50" t="s">
        <v>302</v>
      </c>
      <c r="M1148" s="50" t="s">
        <v>2733</v>
      </c>
      <c r="N1148" s="50" t="s">
        <v>2734</v>
      </c>
      <c r="O1148" s="50" t="s">
        <v>2744</v>
      </c>
      <c r="P1148" s="50" t="s">
        <v>2745</v>
      </c>
    </row>
    <row r="1149" ht="13.5" customHeight="1">
      <c r="B1149" s="54"/>
      <c r="C1149" s="38"/>
      <c r="D1149" s="55"/>
      <c r="E1149" s="56"/>
      <c r="F1149" s="55"/>
      <c r="G1149" s="55"/>
      <c r="H1149" s="56"/>
      <c r="J1149" s="57" t="str">
        <f t="shared" si="1"/>
        <v>ZuliaMaracaiboChiquinquira</v>
      </c>
      <c r="K1149" s="50" t="s">
        <v>301</v>
      </c>
      <c r="L1149" s="50" t="s">
        <v>302</v>
      </c>
      <c r="M1149" s="50" t="s">
        <v>2733</v>
      </c>
      <c r="N1149" s="50" t="s">
        <v>2734</v>
      </c>
      <c r="O1149" s="50" t="s">
        <v>2746</v>
      </c>
      <c r="P1149" s="50" t="s">
        <v>1536</v>
      </c>
    </row>
    <row r="1150" ht="13.5" customHeight="1">
      <c r="B1150" s="54"/>
      <c r="C1150" s="38"/>
      <c r="D1150" s="55"/>
      <c r="E1150" s="56"/>
      <c r="F1150" s="55"/>
      <c r="G1150" s="55"/>
      <c r="H1150" s="56"/>
      <c r="J1150" s="57" t="str">
        <f t="shared" si="1"/>
        <v>ZuliaMaracaiboFrancisco Eugenio Bustamante</v>
      </c>
      <c r="K1150" s="50" t="s">
        <v>301</v>
      </c>
      <c r="L1150" s="50" t="s">
        <v>302</v>
      </c>
      <c r="M1150" s="50" t="s">
        <v>2733</v>
      </c>
      <c r="N1150" s="50" t="s">
        <v>2734</v>
      </c>
      <c r="O1150" s="50" t="s">
        <v>2747</v>
      </c>
      <c r="P1150" s="50" t="s">
        <v>2748</v>
      </c>
    </row>
    <row r="1151" ht="13.5" customHeight="1">
      <c r="B1151" s="54"/>
      <c r="C1151" s="38"/>
      <c r="D1151" s="55"/>
      <c r="E1151" s="56"/>
      <c r="F1151" s="55"/>
      <c r="G1151" s="55"/>
      <c r="H1151" s="56"/>
      <c r="J1151" s="57" t="str">
        <f t="shared" si="1"/>
        <v>ZuliaMaracaiboIdelfonso Vásquez</v>
      </c>
      <c r="K1151" s="50" t="s">
        <v>301</v>
      </c>
      <c r="L1151" s="50" t="s">
        <v>302</v>
      </c>
      <c r="M1151" s="50" t="s">
        <v>2733</v>
      </c>
      <c r="N1151" s="50" t="s">
        <v>2734</v>
      </c>
      <c r="O1151" s="50" t="s">
        <v>2749</v>
      </c>
      <c r="P1151" s="50" t="s">
        <v>2750</v>
      </c>
    </row>
    <row r="1152" ht="13.5" customHeight="1">
      <c r="B1152" s="54"/>
      <c r="C1152" s="38"/>
      <c r="D1152" s="55"/>
      <c r="E1152" s="56"/>
      <c r="F1152" s="55"/>
      <c r="G1152" s="55"/>
      <c r="H1152" s="56"/>
      <c r="J1152" s="57" t="str">
        <f t="shared" si="1"/>
        <v>ZuliaMaracaiboJuana De Ávila</v>
      </c>
      <c r="K1152" s="50" t="s">
        <v>301</v>
      </c>
      <c r="L1152" s="50" t="s">
        <v>302</v>
      </c>
      <c r="M1152" s="50" t="s">
        <v>2733</v>
      </c>
      <c r="N1152" s="50" t="s">
        <v>2734</v>
      </c>
      <c r="O1152" s="50" t="s">
        <v>2751</v>
      </c>
      <c r="P1152" s="50" t="s">
        <v>2752</v>
      </c>
    </row>
    <row r="1153" ht="13.5" customHeight="1">
      <c r="B1153" s="54"/>
      <c r="C1153" s="38"/>
      <c r="D1153" s="55"/>
      <c r="E1153" s="56"/>
      <c r="F1153" s="55"/>
      <c r="G1153" s="55"/>
      <c r="H1153" s="56"/>
      <c r="J1153" s="57" t="str">
        <f t="shared" si="1"/>
        <v>ZuliaMaracaiboLuis Hurtado Higuera</v>
      </c>
      <c r="K1153" s="50" t="s">
        <v>301</v>
      </c>
      <c r="L1153" s="50" t="s">
        <v>302</v>
      </c>
      <c r="M1153" s="50" t="s">
        <v>2733</v>
      </c>
      <c r="N1153" s="50" t="s">
        <v>2734</v>
      </c>
      <c r="O1153" s="50" t="s">
        <v>2753</v>
      </c>
      <c r="P1153" s="50" t="s">
        <v>2754</v>
      </c>
    </row>
    <row r="1154" ht="13.5" customHeight="1">
      <c r="B1154" s="54"/>
      <c r="C1154" s="38"/>
      <c r="D1154" s="55"/>
      <c r="E1154" s="56"/>
      <c r="F1154" s="55"/>
      <c r="G1154" s="55"/>
      <c r="H1154" s="56"/>
      <c r="J1154" s="57" t="str">
        <f t="shared" si="1"/>
        <v>ZuliaMaracaiboManuel Dagnino</v>
      </c>
      <c r="K1154" s="50" t="s">
        <v>301</v>
      </c>
      <c r="L1154" s="50" t="s">
        <v>302</v>
      </c>
      <c r="M1154" s="50" t="s">
        <v>2733</v>
      </c>
      <c r="N1154" s="50" t="s">
        <v>2734</v>
      </c>
      <c r="O1154" s="50" t="s">
        <v>2755</v>
      </c>
      <c r="P1154" s="50" t="s">
        <v>2756</v>
      </c>
    </row>
    <row r="1155" ht="13.5" customHeight="1">
      <c r="B1155" s="54"/>
      <c r="C1155" s="38"/>
      <c r="D1155" s="55"/>
      <c r="E1155" s="56"/>
      <c r="F1155" s="55"/>
      <c r="G1155" s="55"/>
      <c r="H1155" s="56"/>
      <c r="J1155" s="57" t="str">
        <f t="shared" si="1"/>
        <v>ZuliaMaracaiboOlegario Villalobos</v>
      </c>
      <c r="K1155" s="50" t="s">
        <v>301</v>
      </c>
      <c r="L1155" s="50" t="s">
        <v>302</v>
      </c>
      <c r="M1155" s="50" t="s">
        <v>2733</v>
      </c>
      <c r="N1155" s="50" t="s">
        <v>2734</v>
      </c>
      <c r="O1155" s="50" t="s">
        <v>2757</v>
      </c>
      <c r="P1155" s="50" t="s">
        <v>2758</v>
      </c>
    </row>
    <row r="1156" ht="13.5" customHeight="1">
      <c r="B1156" s="54"/>
      <c r="C1156" s="38"/>
      <c r="D1156" s="55"/>
      <c r="E1156" s="56"/>
      <c r="F1156" s="55"/>
      <c r="G1156" s="55"/>
      <c r="H1156" s="56"/>
      <c r="J1156" s="57" t="str">
        <f t="shared" si="1"/>
        <v>ZuliaMaracaiboRaúl Leoni</v>
      </c>
      <c r="K1156" s="50" t="s">
        <v>301</v>
      </c>
      <c r="L1156" s="50" t="s">
        <v>302</v>
      </c>
      <c r="M1156" s="50" t="s">
        <v>2733</v>
      </c>
      <c r="N1156" s="50" t="s">
        <v>2734</v>
      </c>
      <c r="O1156" s="50" t="s">
        <v>2759</v>
      </c>
      <c r="P1156" s="50" t="s">
        <v>2760</v>
      </c>
    </row>
    <row r="1157" ht="13.5" customHeight="1">
      <c r="B1157" s="54"/>
      <c r="C1157" s="38"/>
      <c r="D1157" s="55"/>
      <c r="E1157" s="56"/>
      <c r="F1157" s="55"/>
      <c r="G1157" s="55"/>
      <c r="H1157" s="56"/>
      <c r="J1157" s="57" t="str">
        <f t="shared" si="1"/>
        <v>ZuliaMaracaiboSanta Lucia</v>
      </c>
      <c r="K1157" s="50" t="s">
        <v>301</v>
      </c>
      <c r="L1157" s="50" t="s">
        <v>302</v>
      </c>
      <c r="M1157" s="50" t="s">
        <v>2733</v>
      </c>
      <c r="N1157" s="50" t="s">
        <v>2734</v>
      </c>
      <c r="O1157" s="50" t="s">
        <v>2761</v>
      </c>
      <c r="P1157" s="50" t="s">
        <v>836</v>
      </c>
    </row>
    <row r="1158" ht="13.5" customHeight="1">
      <c r="B1158" s="54"/>
      <c r="C1158" s="38"/>
      <c r="D1158" s="55"/>
      <c r="E1158" s="56"/>
      <c r="F1158" s="55"/>
      <c r="G1158" s="55"/>
      <c r="H1158" s="56"/>
      <c r="J1158" s="57" t="str">
        <f t="shared" si="1"/>
        <v>ZuliaMaracaiboVenancio Pulgar</v>
      </c>
      <c r="K1158" s="50" t="s">
        <v>301</v>
      </c>
      <c r="L1158" s="50" t="s">
        <v>302</v>
      </c>
      <c r="M1158" s="50" t="s">
        <v>2733</v>
      </c>
      <c r="N1158" s="50" t="s">
        <v>2734</v>
      </c>
      <c r="O1158" s="50" t="s">
        <v>2762</v>
      </c>
      <c r="P1158" s="50" t="s">
        <v>2763</v>
      </c>
    </row>
    <row r="1159" ht="13.5" customHeight="1">
      <c r="B1159" s="54"/>
      <c r="C1159" s="38"/>
      <c r="D1159" s="55"/>
      <c r="E1159" s="56"/>
      <c r="F1159" s="55"/>
      <c r="G1159" s="55"/>
      <c r="H1159" s="56"/>
      <c r="J1159" s="57" t="str">
        <f t="shared" si="1"/>
        <v>ZuliaMaracaiboSan Isidro</v>
      </c>
      <c r="K1159" s="50" t="s">
        <v>301</v>
      </c>
      <c r="L1159" s="50" t="s">
        <v>302</v>
      </c>
      <c r="M1159" s="50" t="s">
        <v>2733</v>
      </c>
      <c r="N1159" s="50" t="s">
        <v>2734</v>
      </c>
      <c r="O1159" s="50" t="s">
        <v>2764</v>
      </c>
      <c r="P1159" s="50" t="s">
        <v>997</v>
      </c>
    </row>
    <row r="1160" ht="13.5" customHeight="1">
      <c r="B1160" s="54"/>
      <c r="C1160" s="38"/>
      <c r="D1160" s="55"/>
      <c r="E1160" s="56"/>
      <c r="F1160" s="55"/>
      <c r="G1160" s="55"/>
      <c r="H1160" s="56"/>
      <c r="J1160" s="57" t="str">
        <f t="shared" si="1"/>
        <v>ZuliaMirandaAltagracia</v>
      </c>
      <c r="K1160" s="50" t="s">
        <v>301</v>
      </c>
      <c r="L1160" s="50" t="s">
        <v>302</v>
      </c>
      <c r="M1160" s="50" t="s">
        <v>2765</v>
      </c>
      <c r="N1160" s="50" t="s">
        <v>232</v>
      </c>
      <c r="O1160" s="50" t="s">
        <v>2766</v>
      </c>
      <c r="P1160" s="50" t="s">
        <v>36</v>
      </c>
    </row>
    <row r="1161" ht="13.5" customHeight="1">
      <c r="B1161" s="54"/>
      <c r="C1161" s="38"/>
      <c r="D1161" s="55"/>
      <c r="E1161" s="56"/>
      <c r="F1161" s="55"/>
      <c r="G1161" s="55"/>
      <c r="H1161" s="56"/>
      <c r="J1161" s="57" t="str">
        <f t="shared" si="1"/>
        <v>ZuliaMirandaAna María Campos</v>
      </c>
      <c r="K1161" s="50" t="s">
        <v>301</v>
      </c>
      <c r="L1161" s="50" t="s">
        <v>302</v>
      </c>
      <c r="M1161" s="50" t="s">
        <v>2765</v>
      </c>
      <c r="N1161" s="50" t="s">
        <v>232</v>
      </c>
      <c r="O1161" s="50" t="s">
        <v>2767</v>
      </c>
      <c r="P1161" s="50" t="s">
        <v>2768</v>
      </c>
    </row>
    <row r="1162" ht="13.5" customHeight="1">
      <c r="B1162" s="54"/>
      <c r="C1162" s="38"/>
      <c r="D1162" s="55"/>
      <c r="E1162" s="56"/>
      <c r="F1162" s="55"/>
      <c r="G1162" s="55"/>
      <c r="H1162" s="56"/>
      <c r="J1162" s="57" t="str">
        <f t="shared" si="1"/>
        <v>ZuliaMirandaFaria</v>
      </c>
      <c r="K1162" s="50" t="s">
        <v>301</v>
      </c>
      <c r="L1162" s="50" t="s">
        <v>302</v>
      </c>
      <c r="M1162" s="50" t="s">
        <v>2765</v>
      </c>
      <c r="N1162" s="50" t="s">
        <v>232</v>
      </c>
      <c r="O1162" s="50" t="s">
        <v>2769</v>
      </c>
      <c r="P1162" s="50" t="s">
        <v>2770</v>
      </c>
    </row>
    <row r="1163" ht="13.5" customHeight="1">
      <c r="B1163" s="54"/>
      <c r="C1163" s="38"/>
      <c r="D1163" s="55"/>
      <c r="E1163" s="56"/>
      <c r="F1163" s="55"/>
      <c r="G1163" s="55"/>
      <c r="H1163" s="56"/>
      <c r="J1163" s="57" t="str">
        <f t="shared" si="1"/>
        <v>ZuliaMirandaSan Antonio</v>
      </c>
      <c r="K1163" s="50" t="s">
        <v>301</v>
      </c>
      <c r="L1163" s="50" t="s">
        <v>302</v>
      </c>
      <c r="M1163" s="50" t="s">
        <v>2765</v>
      </c>
      <c r="N1163" s="50" t="s">
        <v>232</v>
      </c>
      <c r="O1163" s="50" t="s">
        <v>2771</v>
      </c>
      <c r="P1163" s="50" t="s">
        <v>827</v>
      </c>
    </row>
    <row r="1164" ht="13.5" customHeight="1">
      <c r="B1164" s="54"/>
      <c r="C1164" s="38"/>
      <c r="D1164" s="55"/>
      <c r="E1164" s="56"/>
      <c r="F1164" s="55"/>
      <c r="G1164" s="55"/>
      <c r="H1164" s="56"/>
      <c r="J1164" s="57" t="str">
        <f t="shared" si="1"/>
        <v>ZuliaMirandaSan José</v>
      </c>
      <c r="K1164" s="50" t="s">
        <v>301</v>
      </c>
      <c r="L1164" s="50" t="s">
        <v>302</v>
      </c>
      <c r="M1164" s="50" t="s">
        <v>2765</v>
      </c>
      <c r="N1164" s="50" t="s">
        <v>232</v>
      </c>
      <c r="O1164" s="50" t="s">
        <v>2772</v>
      </c>
      <c r="P1164" s="50" t="s">
        <v>247</v>
      </c>
    </row>
    <row r="1165" ht="13.5" customHeight="1">
      <c r="B1165" s="54"/>
      <c r="C1165" s="38"/>
      <c r="D1165" s="55"/>
      <c r="E1165" s="56"/>
      <c r="F1165" s="55"/>
      <c r="G1165" s="55"/>
      <c r="H1165" s="56"/>
      <c r="J1165" s="57" t="str">
        <f t="shared" si="1"/>
        <v>ZuliaMirandaJosé Antonio Chaves</v>
      </c>
      <c r="K1165" s="50" t="s">
        <v>301</v>
      </c>
      <c r="L1165" s="50" t="s">
        <v>302</v>
      </c>
      <c r="M1165" s="50" t="s">
        <v>2765</v>
      </c>
      <c r="N1165" s="50" t="s">
        <v>232</v>
      </c>
      <c r="O1165" s="50" t="s">
        <v>2773</v>
      </c>
      <c r="P1165" s="50" t="s">
        <v>2774</v>
      </c>
    </row>
    <row r="1166" ht="13.5" customHeight="1">
      <c r="B1166" s="54"/>
      <c r="C1166" s="38"/>
      <c r="D1166" s="55"/>
      <c r="E1166" s="56"/>
      <c r="F1166" s="55"/>
      <c r="G1166" s="55"/>
      <c r="H1166" s="56"/>
      <c r="J1166" s="57" t="str">
        <f t="shared" si="1"/>
        <v>ZuliaIndígena Bolivariano GuajiraSinamaica</v>
      </c>
      <c r="K1166" s="50" t="s">
        <v>301</v>
      </c>
      <c r="L1166" s="50" t="s">
        <v>302</v>
      </c>
      <c r="M1166" s="50" t="s">
        <v>2775</v>
      </c>
      <c r="N1166" s="50" t="s">
        <v>2776</v>
      </c>
      <c r="O1166" s="50" t="s">
        <v>2777</v>
      </c>
      <c r="P1166" s="50" t="s">
        <v>2778</v>
      </c>
    </row>
    <row r="1167" ht="13.5" customHeight="1">
      <c r="B1167" s="54"/>
      <c r="C1167" s="38"/>
      <c r="D1167" s="55"/>
      <c r="E1167" s="56"/>
      <c r="F1167" s="55"/>
      <c r="G1167" s="55"/>
      <c r="H1167" s="56"/>
      <c r="J1167" s="57" t="str">
        <f t="shared" si="1"/>
        <v>ZuliaIndígena Bolivariano GuajiraAlta Guajira</v>
      </c>
      <c r="K1167" s="50" t="s">
        <v>301</v>
      </c>
      <c r="L1167" s="50" t="s">
        <v>302</v>
      </c>
      <c r="M1167" s="50" t="s">
        <v>2775</v>
      </c>
      <c r="N1167" s="50" t="s">
        <v>2776</v>
      </c>
      <c r="O1167" s="50" t="s">
        <v>2779</v>
      </c>
      <c r="P1167" s="50" t="s">
        <v>2780</v>
      </c>
    </row>
    <row r="1168" ht="13.5" customHeight="1">
      <c r="B1168" s="54"/>
      <c r="C1168" s="38"/>
      <c r="D1168" s="55"/>
      <c r="E1168" s="56"/>
      <c r="F1168" s="55"/>
      <c r="G1168" s="55"/>
      <c r="H1168" s="56"/>
      <c r="J1168" s="57" t="str">
        <f t="shared" si="1"/>
        <v>ZuliaIndígena Bolivariano GuajiraElías Sánchez Rubio</v>
      </c>
      <c r="K1168" s="50" t="s">
        <v>301</v>
      </c>
      <c r="L1168" s="50" t="s">
        <v>302</v>
      </c>
      <c r="M1168" s="50" t="s">
        <v>2775</v>
      </c>
      <c r="N1168" s="50" t="s">
        <v>2776</v>
      </c>
      <c r="O1168" s="50" t="s">
        <v>2781</v>
      </c>
      <c r="P1168" s="50" t="s">
        <v>2782</v>
      </c>
    </row>
    <row r="1169" ht="13.5" customHeight="1">
      <c r="B1169" s="54"/>
      <c r="C1169" s="38"/>
      <c r="D1169" s="55"/>
      <c r="E1169" s="56"/>
      <c r="F1169" s="55"/>
      <c r="G1169" s="55"/>
      <c r="H1169" s="56"/>
      <c r="J1169" s="57" t="str">
        <f t="shared" si="1"/>
        <v>ZuliaIndígena Bolivariano GuajiraGuajira</v>
      </c>
      <c r="K1169" s="50" t="s">
        <v>301</v>
      </c>
      <c r="L1169" s="50" t="s">
        <v>302</v>
      </c>
      <c r="M1169" s="50" t="s">
        <v>2775</v>
      </c>
      <c r="N1169" s="50" t="s">
        <v>2776</v>
      </c>
      <c r="O1169" s="50" t="s">
        <v>2783</v>
      </c>
      <c r="P1169" s="50" t="s">
        <v>2784</v>
      </c>
    </row>
    <row r="1170" ht="13.5" customHeight="1">
      <c r="B1170" s="54"/>
      <c r="C1170" s="38"/>
      <c r="D1170" s="55"/>
      <c r="E1170" s="56"/>
      <c r="F1170" s="55"/>
      <c r="G1170" s="55"/>
      <c r="H1170" s="56"/>
      <c r="J1170" s="57" t="str">
        <f t="shared" si="1"/>
        <v>ZuliaRosario De PerijáEl Rosario</v>
      </c>
      <c r="K1170" s="50" t="s">
        <v>301</v>
      </c>
      <c r="L1170" s="50" t="s">
        <v>302</v>
      </c>
      <c r="M1170" s="50" t="s">
        <v>2785</v>
      </c>
      <c r="N1170" s="50" t="s">
        <v>2786</v>
      </c>
      <c r="O1170" s="50" t="s">
        <v>2787</v>
      </c>
      <c r="P1170" s="50" t="s">
        <v>2788</v>
      </c>
    </row>
    <row r="1171" ht="13.5" customHeight="1">
      <c r="B1171" s="54"/>
      <c r="C1171" s="38"/>
      <c r="D1171" s="55"/>
      <c r="E1171" s="56"/>
      <c r="F1171" s="55"/>
      <c r="G1171" s="55"/>
      <c r="H1171" s="56"/>
      <c r="J1171" s="57" t="str">
        <f t="shared" si="1"/>
        <v>ZuliaRosario De PerijáDonaldo García</v>
      </c>
      <c r="K1171" s="50" t="s">
        <v>301</v>
      </c>
      <c r="L1171" s="50" t="s">
        <v>302</v>
      </c>
      <c r="M1171" s="50" t="s">
        <v>2785</v>
      </c>
      <c r="N1171" s="50" t="s">
        <v>2786</v>
      </c>
      <c r="O1171" s="50" t="s">
        <v>2789</v>
      </c>
      <c r="P1171" s="50" t="s">
        <v>2790</v>
      </c>
    </row>
    <row r="1172" ht="13.5" customHeight="1">
      <c r="B1172" s="54"/>
      <c r="C1172" s="38"/>
      <c r="D1172" s="55"/>
      <c r="E1172" s="56"/>
      <c r="F1172" s="55"/>
      <c r="G1172" s="55"/>
      <c r="H1172" s="56"/>
      <c r="J1172" s="57" t="str">
        <f t="shared" si="1"/>
        <v>ZuliaRosario De PerijáSixto Zambrano</v>
      </c>
      <c r="K1172" s="50" t="s">
        <v>301</v>
      </c>
      <c r="L1172" s="50" t="s">
        <v>302</v>
      </c>
      <c r="M1172" s="50" t="s">
        <v>2785</v>
      </c>
      <c r="N1172" s="50" t="s">
        <v>2786</v>
      </c>
      <c r="O1172" s="50" t="s">
        <v>2791</v>
      </c>
      <c r="P1172" s="50" t="s">
        <v>2792</v>
      </c>
    </row>
    <row r="1173" ht="13.5" customHeight="1">
      <c r="B1173" s="54"/>
      <c r="C1173" s="38"/>
      <c r="D1173" s="55"/>
      <c r="E1173" s="56"/>
      <c r="F1173" s="55"/>
      <c r="G1173" s="55"/>
      <c r="H1173" s="56"/>
      <c r="J1173" s="57" t="str">
        <f t="shared" si="1"/>
        <v>ZuliaSan FranciscoSan Francisco</v>
      </c>
      <c r="K1173" s="50" t="s">
        <v>301</v>
      </c>
      <c r="L1173" s="50" t="s">
        <v>302</v>
      </c>
      <c r="M1173" s="50" t="s">
        <v>2793</v>
      </c>
      <c r="N1173" s="50" t="s">
        <v>638</v>
      </c>
      <c r="O1173" s="50" t="s">
        <v>2794</v>
      </c>
      <c r="P1173" s="50" t="s">
        <v>638</v>
      </c>
    </row>
    <row r="1174" ht="13.5" customHeight="1">
      <c r="B1174" s="54"/>
      <c r="C1174" s="38"/>
      <c r="D1174" s="55"/>
      <c r="E1174" s="56"/>
      <c r="F1174" s="55"/>
      <c r="G1174" s="55"/>
      <c r="H1174" s="56"/>
      <c r="J1174" s="57" t="str">
        <f t="shared" si="1"/>
        <v>ZuliaSan FranciscoEl Bajo</v>
      </c>
      <c r="K1174" s="50" t="s">
        <v>301</v>
      </c>
      <c r="L1174" s="50" t="s">
        <v>302</v>
      </c>
      <c r="M1174" s="50" t="s">
        <v>2793</v>
      </c>
      <c r="N1174" s="50" t="s">
        <v>638</v>
      </c>
      <c r="O1174" s="50" t="s">
        <v>2795</v>
      </c>
      <c r="P1174" s="50" t="s">
        <v>2796</v>
      </c>
    </row>
    <row r="1175" ht="13.5" customHeight="1">
      <c r="B1175" s="54"/>
      <c r="C1175" s="38"/>
      <c r="D1175" s="55"/>
      <c r="E1175" s="56"/>
      <c r="F1175" s="55"/>
      <c r="G1175" s="55"/>
      <c r="H1175" s="56"/>
      <c r="J1175" s="57" t="str">
        <f t="shared" si="1"/>
        <v>ZuliaSan FranciscoDomitila Flores</v>
      </c>
      <c r="K1175" s="50" t="s">
        <v>301</v>
      </c>
      <c r="L1175" s="50" t="s">
        <v>302</v>
      </c>
      <c r="M1175" s="50" t="s">
        <v>2793</v>
      </c>
      <c r="N1175" s="50" t="s">
        <v>638</v>
      </c>
      <c r="O1175" s="50" t="s">
        <v>2797</v>
      </c>
      <c r="P1175" s="50" t="s">
        <v>2798</v>
      </c>
    </row>
    <row r="1176" ht="13.5" customHeight="1">
      <c r="B1176" s="54"/>
      <c r="C1176" s="38"/>
      <c r="D1176" s="55"/>
      <c r="E1176" s="56"/>
      <c r="F1176" s="55"/>
      <c r="G1176" s="55"/>
      <c r="H1176" s="56"/>
      <c r="J1176" s="57" t="str">
        <f t="shared" si="1"/>
        <v>ZuliaSan FranciscoFrancisco Ochoa</v>
      </c>
      <c r="K1176" s="50" t="s">
        <v>301</v>
      </c>
      <c r="L1176" s="50" t="s">
        <v>302</v>
      </c>
      <c r="M1176" s="50" t="s">
        <v>2793</v>
      </c>
      <c r="N1176" s="50" t="s">
        <v>638</v>
      </c>
      <c r="O1176" s="50" t="s">
        <v>2799</v>
      </c>
      <c r="P1176" s="50" t="s">
        <v>2800</v>
      </c>
    </row>
    <row r="1177" ht="13.5" customHeight="1">
      <c r="B1177" s="54"/>
      <c r="C1177" s="38"/>
      <c r="D1177" s="55"/>
      <c r="E1177" s="56"/>
      <c r="F1177" s="55"/>
      <c r="G1177" s="55"/>
      <c r="H1177" s="56"/>
      <c r="J1177" s="57" t="str">
        <f t="shared" si="1"/>
        <v>ZuliaSan FranciscoLos Cortijos</v>
      </c>
      <c r="K1177" s="50" t="s">
        <v>301</v>
      </c>
      <c r="L1177" s="50" t="s">
        <v>302</v>
      </c>
      <c r="M1177" s="50" t="s">
        <v>2793</v>
      </c>
      <c r="N1177" s="50" t="s">
        <v>638</v>
      </c>
      <c r="O1177" s="50" t="s">
        <v>2801</v>
      </c>
      <c r="P1177" s="50" t="s">
        <v>2802</v>
      </c>
    </row>
    <row r="1178" ht="13.5" customHeight="1">
      <c r="B1178" s="54"/>
      <c r="C1178" s="38"/>
      <c r="D1178" s="55"/>
      <c r="E1178" s="56"/>
      <c r="F1178" s="55"/>
      <c r="G1178" s="55"/>
      <c r="H1178" s="56"/>
      <c r="J1178" s="57" t="str">
        <f t="shared" si="1"/>
        <v>ZuliaSan FranciscoMarcial Hernández</v>
      </c>
      <c r="K1178" s="50" t="s">
        <v>301</v>
      </c>
      <c r="L1178" s="50" t="s">
        <v>302</v>
      </c>
      <c r="M1178" s="50" t="s">
        <v>2793</v>
      </c>
      <c r="N1178" s="50" t="s">
        <v>638</v>
      </c>
      <c r="O1178" s="50" t="s">
        <v>2803</v>
      </c>
      <c r="P1178" s="50" t="s">
        <v>2804</v>
      </c>
    </row>
    <row r="1179" ht="13.5" customHeight="1">
      <c r="B1179" s="54"/>
      <c r="C1179" s="38"/>
      <c r="D1179" s="55"/>
      <c r="E1179" s="56"/>
      <c r="F1179" s="55"/>
      <c r="G1179" s="55"/>
      <c r="H1179" s="56"/>
      <c r="J1179" s="57" t="str">
        <f t="shared" si="1"/>
        <v>ZuliaSan FranciscoJosé Domingo Rus</v>
      </c>
      <c r="K1179" s="50" t="s">
        <v>301</v>
      </c>
      <c r="L1179" s="50" t="s">
        <v>302</v>
      </c>
      <c r="M1179" s="50" t="s">
        <v>2793</v>
      </c>
      <c r="N1179" s="50" t="s">
        <v>638</v>
      </c>
      <c r="O1179" s="50" t="s">
        <v>2805</v>
      </c>
      <c r="P1179" s="50" t="s">
        <v>2806</v>
      </c>
    </row>
    <row r="1180" ht="13.5" customHeight="1">
      <c r="B1180" s="54"/>
      <c r="C1180" s="38"/>
      <c r="D1180" s="55"/>
      <c r="E1180" s="56"/>
      <c r="F1180" s="55"/>
      <c r="G1180" s="55"/>
      <c r="H1180" s="56"/>
      <c r="J1180" s="57" t="str">
        <f t="shared" si="1"/>
        <v>ZuliaSanta RitaSanta Rita</v>
      </c>
      <c r="K1180" s="50" t="s">
        <v>301</v>
      </c>
      <c r="L1180" s="50" t="s">
        <v>302</v>
      </c>
      <c r="M1180" s="50" t="s">
        <v>2807</v>
      </c>
      <c r="N1180" s="50" t="s">
        <v>2459</v>
      </c>
      <c r="O1180" s="50" t="s">
        <v>2808</v>
      </c>
      <c r="P1180" s="50" t="s">
        <v>2459</v>
      </c>
    </row>
    <row r="1181" ht="13.5" customHeight="1">
      <c r="B1181" s="54"/>
      <c r="C1181" s="38"/>
      <c r="D1181" s="55"/>
      <c r="E1181" s="56"/>
      <c r="F1181" s="55"/>
      <c r="G1181" s="55"/>
      <c r="H1181" s="56"/>
      <c r="J1181" s="57" t="str">
        <f t="shared" si="1"/>
        <v>ZuliaSanta RitaEl Mene</v>
      </c>
      <c r="K1181" s="50" t="s">
        <v>301</v>
      </c>
      <c r="L1181" s="50" t="s">
        <v>302</v>
      </c>
      <c r="M1181" s="50" t="s">
        <v>2807</v>
      </c>
      <c r="N1181" s="50" t="s">
        <v>2459</v>
      </c>
      <c r="O1181" s="50" t="s">
        <v>2809</v>
      </c>
      <c r="P1181" s="50" t="s">
        <v>2810</v>
      </c>
    </row>
    <row r="1182" ht="13.5" customHeight="1">
      <c r="B1182" s="54"/>
      <c r="C1182" s="38"/>
      <c r="D1182" s="55"/>
      <c r="E1182" s="56"/>
      <c r="F1182" s="55"/>
      <c r="G1182" s="55"/>
      <c r="H1182" s="56"/>
      <c r="J1182" s="57" t="str">
        <f t="shared" si="1"/>
        <v>ZuliaSanta RitaJosé Cenovio Urribarri</v>
      </c>
      <c r="K1182" s="50" t="s">
        <v>301</v>
      </c>
      <c r="L1182" s="50" t="s">
        <v>302</v>
      </c>
      <c r="M1182" s="50" t="s">
        <v>2807</v>
      </c>
      <c r="N1182" s="50" t="s">
        <v>2459</v>
      </c>
      <c r="O1182" s="50" t="s">
        <v>2811</v>
      </c>
      <c r="P1182" s="50" t="s">
        <v>2812</v>
      </c>
    </row>
    <row r="1183" ht="13.5" customHeight="1">
      <c r="B1183" s="54"/>
      <c r="C1183" s="38"/>
      <c r="D1183" s="55"/>
      <c r="E1183" s="56"/>
      <c r="F1183" s="55"/>
      <c r="G1183" s="55"/>
      <c r="H1183" s="56"/>
      <c r="J1183" s="57" t="str">
        <f t="shared" si="1"/>
        <v>ZuliaSanta RitaPedro Lucas Urribarri</v>
      </c>
      <c r="K1183" s="50" t="s">
        <v>301</v>
      </c>
      <c r="L1183" s="50" t="s">
        <v>302</v>
      </c>
      <c r="M1183" s="50" t="s">
        <v>2807</v>
      </c>
      <c r="N1183" s="50" t="s">
        <v>2459</v>
      </c>
      <c r="O1183" s="50" t="s">
        <v>2813</v>
      </c>
      <c r="P1183" s="50" t="s">
        <v>2814</v>
      </c>
    </row>
    <row r="1184" ht="13.5" customHeight="1">
      <c r="B1184" s="54"/>
      <c r="C1184" s="38"/>
      <c r="D1184" s="55"/>
      <c r="E1184" s="56"/>
      <c r="F1184" s="55"/>
      <c r="G1184" s="55"/>
      <c r="H1184" s="56"/>
      <c r="J1184" s="57" t="str">
        <f t="shared" si="1"/>
        <v>ZuliaSimón BolívarManuel Manrique</v>
      </c>
      <c r="K1184" s="50" t="s">
        <v>301</v>
      </c>
      <c r="L1184" s="50" t="s">
        <v>302</v>
      </c>
      <c r="M1184" s="50" t="s">
        <v>2815</v>
      </c>
      <c r="N1184" s="50" t="s">
        <v>324</v>
      </c>
      <c r="O1184" s="50" t="s">
        <v>2816</v>
      </c>
      <c r="P1184" s="50" t="s">
        <v>1131</v>
      </c>
    </row>
    <row r="1185" ht="13.5" customHeight="1">
      <c r="B1185" s="54"/>
      <c r="C1185" s="38"/>
      <c r="D1185" s="55"/>
      <c r="E1185" s="56"/>
      <c r="F1185" s="55"/>
      <c r="G1185" s="55"/>
      <c r="H1185" s="56"/>
      <c r="J1185" s="57" t="str">
        <f t="shared" si="1"/>
        <v>ZuliaSimón BolívarRafael María Baralt</v>
      </c>
      <c r="K1185" s="50" t="s">
        <v>301</v>
      </c>
      <c r="L1185" s="50" t="s">
        <v>302</v>
      </c>
      <c r="M1185" s="50" t="s">
        <v>2815</v>
      </c>
      <c r="N1185" s="50" t="s">
        <v>324</v>
      </c>
      <c r="O1185" s="50" t="s">
        <v>2817</v>
      </c>
      <c r="P1185" s="50" t="s">
        <v>2818</v>
      </c>
    </row>
    <row r="1186" ht="13.5" customHeight="1">
      <c r="B1186" s="54"/>
      <c r="C1186" s="38"/>
      <c r="D1186" s="55"/>
      <c r="E1186" s="56"/>
      <c r="F1186" s="55"/>
      <c r="G1186" s="55"/>
      <c r="H1186" s="56"/>
      <c r="J1186" s="57" t="str">
        <f t="shared" si="1"/>
        <v>ZuliaSimón BolívarRafael Urdaneta</v>
      </c>
      <c r="K1186" s="50" t="s">
        <v>301</v>
      </c>
      <c r="L1186" s="50" t="s">
        <v>302</v>
      </c>
      <c r="M1186" s="50" t="s">
        <v>2815</v>
      </c>
      <c r="N1186" s="50" t="s">
        <v>324</v>
      </c>
      <c r="O1186" s="50" t="s">
        <v>2819</v>
      </c>
      <c r="P1186" s="50" t="s">
        <v>2350</v>
      </c>
    </row>
    <row r="1187" ht="13.5" customHeight="1">
      <c r="B1187" s="54"/>
      <c r="C1187" s="38"/>
      <c r="D1187" s="55"/>
      <c r="E1187" s="56"/>
      <c r="F1187" s="55"/>
      <c r="G1187" s="55"/>
      <c r="H1187" s="56"/>
      <c r="J1187" s="57" t="str">
        <f t="shared" si="1"/>
        <v>ZuliaSucreBobures</v>
      </c>
      <c r="K1187" s="50" t="s">
        <v>301</v>
      </c>
      <c r="L1187" s="50" t="s">
        <v>302</v>
      </c>
      <c r="M1187" s="50" t="s">
        <v>2820</v>
      </c>
      <c r="N1187" s="50" t="s">
        <v>271</v>
      </c>
      <c r="O1187" s="50" t="s">
        <v>2821</v>
      </c>
      <c r="P1187" s="50" t="s">
        <v>2822</v>
      </c>
    </row>
    <row r="1188" ht="13.5" customHeight="1">
      <c r="B1188" s="54"/>
      <c r="C1188" s="38"/>
      <c r="D1188" s="55"/>
      <c r="E1188" s="56"/>
      <c r="F1188" s="55"/>
      <c r="G1188" s="55"/>
      <c r="H1188" s="56"/>
      <c r="J1188" s="57" t="str">
        <f t="shared" si="1"/>
        <v>ZuliaSucreEl Batey</v>
      </c>
      <c r="K1188" s="50" t="s">
        <v>301</v>
      </c>
      <c r="L1188" s="50" t="s">
        <v>302</v>
      </c>
      <c r="M1188" s="50" t="s">
        <v>2820</v>
      </c>
      <c r="N1188" s="50" t="s">
        <v>271</v>
      </c>
      <c r="O1188" s="50" t="s">
        <v>2823</v>
      </c>
      <c r="P1188" s="50" t="s">
        <v>2824</v>
      </c>
    </row>
    <row r="1189" ht="13.5" customHeight="1">
      <c r="B1189" s="54"/>
      <c r="C1189" s="38"/>
      <c r="D1189" s="55"/>
      <c r="E1189" s="56"/>
      <c r="F1189" s="55"/>
      <c r="G1189" s="55"/>
      <c r="H1189" s="56"/>
      <c r="J1189" s="57" t="str">
        <f t="shared" si="1"/>
        <v>ZuliaSucreGibraltar</v>
      </c>
      <c r="K1189" s="50" t="s">
        <v>301</v>
      </c>
      <c r="L1189" s="50" t="s">
        <v>302</v>
      </c>
      <c r="M1189" s="50" t="s">
        <v>2820</v>
      </c>
      <c r="N1189" s="50" t="s">
        <v>271</v>
      </c>
      <c r="O1189" s="50" t="s">
        <v>2825</v>
      </c>
      <c r="P1189" s="50" t="s">
        <v>2826</v>
      </c>
    </row>
    <row r="1190" ht="13.5" customHeight="1">
      <c r="B1190" s="54"/>
      <c r="C1190" s="38"/>
      <c r="D1190" s="55"/>
      <c r="E1190" s="56"/>
      <c r="F1190" s="55"/>
      <c r="G1190" s="55"/>
      <c r="H1190" s="56"/>
      <c r="J1190" s="57" t="str">
        <f t="shared" si="1"/>
        <v>ZuliaSucreHeras</v>
      </c>
      <c r="K1190" s="50" t="s">
        <v>301</v>
      </c>
      <c r="L1190" s="50" t="s">
        <v>302</v>
      </c>
      <c r="M1190" s="50" t="s">
        <v>2820</v>
      </c>
      <c r="N1190" s="50" t="s">
        <v>271</v>
      </c>
      <c r="O1190" s="50" t="s">
        <v>2827</v>
      </c>
      <c r="P1190" s="50" t="s">
        <v>2828</v>
      </c>
    </row>
    <row r="1191" ht="13.5" customHeight="1">
      <c r="B1191" s="54"/>
      <c r="C1191" s="38"/>
      <c r="D1191" s="55"/>
      <c r="E1191" s="56"/>
      <c r="F1191" s="55"/>
      <c r="G1191" s="55"/>
      <c r="H1191" s="56"/>
      <c r="J1191" s="57" t="str">
        <f t="shared" si="1"/>
        <v>ZuliaSucreMonseñor Arturo Celestino Álvarez</v>
      </c>
      <c r="K1191" s="50" t="s">
        <v>301</v>
      </c>
      <c r="L1191" s="50" t="s">
        <v>302</v>
      </c>
      <c r="M1191" s="50" t="s">
        <v>2820</v>
      </c>
      <c r="N1191" s="50" t="s">
        <v>271</v>
      </c>
      <c r="O1191" s="50" t="s">
        <v>2829</v>
      </c>
      <c r="P1191" s="50" t="s">
        <v>2830</v>
      </c>
    </row>
    <row r="1192" ht="13.5" customHeight="1">
      <c r="B1192" s="54"/>
      <c r="C1192" s="38"/>
      <c r="D1192" s="55"/>
      <c r="E1192" s="56"/>
      <c r="F1192" s="55"/>
      <c r="G1192" s="55"/>
      <c r="H1192" s="56"/>
      <c r="J1192" s="57" t="str">
        <f t="shared" si="1"/>
        <v>ZuliaSucreRómulo Gallegos</v>
      </c>
      <c r="K1192" s="50" t="s">
        <v>301</v>
      </c>
      <c r="L1192" s="50" t="s">
        <v>302</v>
      </c>
      <c r="M1192" s="50" t="s">
        <v>2820</v>
      </c>
      <c r="N1192" s="50" t="s">
        <v>271</v>
      </c>
      <c r="O1192" s="50" t="s">
        <v>2831</v>
      </c>
      <c r="P1192" s="50" t="s">
        <v>377</v>
      </c>
    </row>
    <row r="1193" ht="13.5" customHeight="1">
      <c r="B1193" s="54"/>
      <c r="C1193" s="38"/>
      <c r="D1193" s="55"/>
      <c r="E1193" s="56"/>
      <c r="F1193" s="55"/>
      <c r="G1193" s="55"/>
      <c r="H1193" s="56"/>
      <c r="J1193" s="57" t="str">
        <f t="shared" si="1"/>
        <v>ZuliaValmore RodríguezLa Victoria</v>
      </c>
      <c r="K1193" s="50" t="s">
        <v>301</v>
      </c>
      <c r="L1193" s="50" t="s">
        <v>302</v>
      </c>
      <c r="M1193" s="50" t="s">
        <v>2832</v>
      </c>
      <c r="N1193" s="50" t="s">
        <v>2535</v>
      </c>
      <c r="O1193" s="50" t="s">
        <v>2833</v>
      </c>
      <c r="P1193" s="50" t="s">
        <v>2834</v>
      </c>
    </row>
    <row r="1194" ht="13.5" customHeight="1">
      <c r="B1194" s="54"/>
      <c r="C1194" s="38"/>
      <c r="D1194" s="55"/>
      <c r="E1194" s="56"/>
      <c r="F1194" s="55"/>
      <c r="G1194" s="55"/>
      <c r="H1194" s="56"/>
      <c r="J1194" s="57" t="str">
        <f t="shared" si="1"/>
        <v>ZuliaValmore RodríguezRafael Urdaneta</v>
      </c>
      <c r="K1194" s="50" t="s">
        <v>301</v>
      </c>
      <c r="L1194" s="50" t="s">
        <v>302</v>
      </c>
      <c r="M1194" s="50" t="s">
        <v>2832</v>
      </c>
      <c r="N1194" s="50" t="s">
        <v>2535</v>
      </c>
      <c r="O1194" s="50" t="s">
        <v>2835</v>
      </c>
      <c r="P1194" s="50" t="s">
        <v>2350</v>
      </c>
    </row>
    <row r="1195" ht="13.5" customHeight="1">
      <c r="B1195" s="54"/>
      <c r="C1195" s="38"/>
      <c r="D1195" s="55"/>
      <c r="E1195" s="56"/>
      <c r="F1195" s="55"/>
      <c r="G1195" s="55"/>
      <c r="H1195" s="56"/>
      <c r="J1195" s="57" t="str">
        <f t="shared" si="1"/>
        <v>ZuliaValmore RodríguezRaúl Cuenca</v>
      </c>
      <c r="K1195" s="50" t="s">
        <v>301</v>
      </c>
      <c r="L1195" s="50" t="s">
        <v>302</v>
      </c>
      <c r="M1195" s="50" t="s">
        <v>2832</v>
      </c>
      <c r="N1195" s="50" t="s">
        <v>2535</v>
      </c>
      <c r="O1195" s="50" t="s">
        <v>2836</v>
      </c>
      <c r="P1195" s="50" t="s">
        <v>2837</v>
      </c>
    </row>
    <row r="1196" ht="13.5" customHeight="1">
      <c r="B1196" s="54"/>
      <c r="C1196" s="38"/>
      <c r="D1196" s="55"/>
      <c r="E1196" s="56"/>
      <c r="F1196" s="55"/>
      <c r="G1196" s="55"/>
      <c r="H1196" s="56"/>
      <c r="J1196" s="57" t="str">
        <f t="shared" si="1"/>
        <v>La GuairaVargasCaraballeda</v>
      </c>
      <c r="K1196" s="50" t="s">
        <v>309</v>
      </c>
      <c r="L1196" s="50" t="s">
        <v>310</v>
      </c>
      <c r="M1196" s="50" t="s">
        <v>2838</v>
      </c>
      <c r="N1196" s="50" t="s">
        <v>454</v>
      </c>
      <c r="O1196" s="50" t="s">
        <v>2839</v>
      </c>
      <c r="P1196" s="50" t="s">
        <v>2840</v>
      </c>
    </row>
    <row r="1197" ht="13.5" customHeight="1">
      <c r="B1197" s="54"/>
      <c r="C1197" s="38"/>
      <c r="D1197" s="55"/>
      <c r="E1197" s="56"/>
      <c r="F1197" s="55"/>
      <c r="G1197" s="55"/>
      <c r="H1197" s="56"/>
      <c r="J1197" s="57" t="str">
        <f t="shared" si="1"/>
        <v>La GuairaVargasCarayaca</v>
      </c>
      <c r="K1197" s="50" t="s">
        <v>309</v>
      </c>
      <c r="L1197" s="50" t="s">
        <v>310</v>
      </c>
      <c r="M1197" s="50" t="s">
        <v>2838</v>
      </c>
      <c r="N1197" s="50" t="s">
        <v>454</v>
      </c>
      <c r="O1197" s="50" t="s">
        <v>2841</v>
      </c>
      <c r="P1197" s="50" t="s">
        <v>2842</v>
      </c>
    </row>
    <row r="1198" ht="13.5" customHeight="1">
      <c r="B1198" s="54"/>
      <c r="C1198" s="38"/>
      <c r="D1198" s="55"/>
      <c r="E1198" s="56"/>
      <c r="F1198" s="55"/>
      <c r="G1198" s="55"/>
      <c r="H1198" s="56"/>
      <c r="J1198" s="57" t="str">
        <f t="shared" si="1"/>
        <v>La GuairaVargasCaruao</v>
      </c>
      <c r="K1198" s="50" t="s">
        <v>309</v>
      </c>
      <c r="L1198" s="50" t="s">
        <v>310</v>
      </c>
      <c r="M1198" s="50" t="s">
        <v>2838</v>
      </c>
      <c r="N1198" s="50" t="s">
        <v>454</v>
      </c>
      <c r="O1198" s="50" t="s">
        <v>2843</v>
      </c>
      <c r="P1198" s="50" t="s">
        <v>2844</v>
      </c>
    </row>
    <row r="1199" ht="13.5" customHeight="1">
      <c r="B1199" s="54"/>
      <c r="C1199" s="38"/>
      <c r="D1199" s="55"/>
      <c r="E1199" s="56"/>
      <c r="F1199" s="55"/>
      <c r="G1199" s="55"/>
      <c r="H1199" s="56"/>
      <c r="J1199" s="57" t="str">
        <f t="shared" si="1"/>
        <v>La GuairaVargasCatia La Mar</v>
      </c>
      <c r="K1199" s="50" t="s">
        <v>309</v>
      </c>
      <c r="L1199" s="50" t="s">
        <v>310</v>
      </c>
      <c r="M1199" s="50" t="s">
        <v>2838</v>
      </c>
      <c r="N1199" s="50" t="s">
        <v>454</v>
      </c>
      <c r="O1199" s="50" t="s">
        <v>2845</v>
      </c>
      <c r="P1199" s="50" t="s">
        <v>2846</v>
      </c>
    </row>
    <row r="1200" ht="13.5" customHeight="1">
      <c r="B1200" s="54"/>
      <c r="C1200" s="38"/>
      <c r="D1200" s="55"/>
      <c r="E1200" s="56"/>
      <c r="F1200" s="55"/>
      <c r="G1200" s="55"/>
      <c r="H1200" s="56"/>
      <c r="J1200" s="57" t="str">
        <f t="shared" si="1"/>
        <v>La GuairaVargasEl Junko</v>
      </c>
      <c r="K1200" s="50" t="s">
        <v>309</v>
      </c>
      <c r="L1200" s="50" t="s">
        <v>310</v>
      </c>
      <c r="M1200" s="50" t="s">
        <v>2838</v>
      </c>
      <c r="N1200" s="50" t="s">
        <v>454</v>
      </c>
      <c r="O1200" s="50" t="s">
        <v>2847</v>
      </c>
      <c r="P1200" s="50" t="s">
        <v>2848</v>
      </c>
    </row>
    <row r="1201" ht="13.5" customHeight="1">
      <c r="B1201" s="54"/>
      <c r="C1201" s="38"/>
      <c r="D1201" s="55"/>
      <c r="E1201" s="56"/>
      <c r="F1201" s="55"/>
      <c r="G1201" s="55"/>
      <c r="H1201" s="56"/>
      <c r="J1201" s="57" t="str">
        <f t="shared" si="1"/>
        <v>La GuairaVargasLa Guaira</v>
      </c>
      <c r="K1201" s="50" t="s">
        <v>309</v>
      </c>
      <c r="L1201" s="50" t="s">
        <v>310</v>
      </c>
      <c r="M1201" s="50" t="s">
        <v>2838</v>
      </c>
      <c r="N1201" s="50" t="s">
        <v>454</v>
      </c>
      <c r="O1201" s="50" t="s">
        <v>2849</v>
      </c>
      <c r="P1201" s="50" t="s">
        <v>310</v>
      </c>
    </row>
    <row r="1202" ht="13.5" customHeight="1">
      <c r="B1202" s="54"/>
      <c r="C1202" s="38"/>
      <c r="D1202" s="55"/>
      <c r="E1202" s="56"/>
      <c r="F1202" s="55"/>
      <c r="G1202" s="55"/>
      <c r="H1202" s="56"/>
      <c r="J1202" s="57" t="str">
        <f t="shared" si="1"/>
        <v>La GuairaVargasMacuto</v>
      </c>
      <c r="K1202" s="50" t="s">
        <v>309</v>
      </c>
      <c r="L1202" s="50" t="s">
        <v>310</v>
      </c>
      <c r="M1202" s="50" t="s">
        <v>2838</v>
      </c>
      <c r="N1202" s="50" t="s">
        <v>454</v>
      </c>
      <c r="O1202" s="50" t="s">
        <v>2850</v>
      </c>
      <c r="P1202" s="50" t="s">
        <v>2851</v>
      </c>
    </row>
    <row r="1203" ht="13.5" customHeight="1">
      <c r="B1203" s="54"/>
      <c r="C1203" s="38"/>
      <c r="D1203" s="55"/>
      <c r="E1203" s="56"/>
      <c r="F1203" s="55"/>
      <c r="G1203" s="55"/>
      <c r="H1203" s="56"/>
      <c r="J1203" s="57" t="str">
        <f t="shared" si="1"/>
        <v>La GuairaVargasMaiquetía</v>
      </c>
      <c r="K1203" s="50" t="s">
        <v>309</v>
      </c>
      <c r="L1203" s="50" t="s">
        <v>310</v>
      </c>
      <c r="M1203" s="50" t="s">
        <v>2838</v>
      </c>
      <c r="N1203" s="50" t="s">
        <v>454</v>
      </c>
      <c r="O1203" s="50" t="s">
        <v>2852</v>
      </c>
      <c r="P1203" s="50" t="s">
        <v>2853</v>
      </c>
    </row>
    <row r="1204" ht="13.5" customHeight="1">
      <c r="B1204" s="54"/>
      <c r="C1204" s="38"/>
      <c r="D1204" s="55"/>
      <c r="E1204" s="56"/>
      <c r="F1204" s="55"/>
      <c r="G1204" s="55"/>
      <c r="H1204" s="56"/>
      <c r="J1204" s="57" t="str">
        <f t="shared" si="1"/>
        <v>La GuairaVargasNaiguata</v>
      </c>
      <c r="K1204" s="50" t="s">
        <v>309</v>
      </c>
      <c r="L1204" s="50" t="s">
        <v>310</v>
      </c>
      <c r="M1204" s="50" t="s">
        <v>2838</v>
      </c>
      <c r="N1204" s="50" t="s">
        <v>454</v>
      </c>
      <c r="O1204" s="50" t="s">
        <v>2854</v>
      </c>
      <c r="P1204" s="50" t="s">
        <v>2855</v>
      </c>
    </row>
    <row r="1205" ht="13.5" customHeight="1">
      <c r="B1205" s="54"/>
      <c r="C1205" s="38"/>
      <c r="D1205" s="55"/>
      <c r="E1205" s="56"/>
      <c r="F1205" s="55"/>
      <c r="G1205" s="55"/>
      <c r="H1205" s="56"/>
      <c r="J1205" s="57" t="str">
        <f t="shared" si="1"/>
        <v>La GuairaVargasUrimare</v>
      </c>
      <c r="K1205" s="50" t="s">
        <v>309</v>
      </c>
      <c r="L1205" s="50" t="s">
        <v>310</v>
      </c>
      <c r="M1205" s="50" t="s">
        <v>2838</v>
      </c>
      <c r="N1205" s="50" t="s">
        <v>454</v>
      </c>
      <c r="O1205" s="50" t="s">
        <v>2856</v>
      </c>
      <c r="P1205" s="50" t="s">
        <v>2857</v>
      </c>
    </row>
    <row r="1206" ht="13.5" customHeight="1">
      <c r="B1206" s="60"/>
      <c r="C1206" s="61"/>
      <c r="D1206" s="62"/>
      <c r="E1206" s="63"/>
      <c r="F1206" s="62"/>
      <c r="G1206" s="62"/>
      <c r="H1206" s="63"/>
      <c r="J1206" s="57" t="str">
        <f t="shared" si="1"/>
        <v>La GuairaVargasCarlos Soublette</v>
      </c>
      <c r="K1206" s="50" t="s">
        <v>309</v>
      </c>
      <c r="L1206" s="50" t="s">
        <v>310</v>
      </c>
      <c r="M1206" s="50" t="s">
        <v>2838</v>
      </c>
      <c r="N1206" s="50" t="s">
        <v>454</v>
      </c>
      <c r="O1206" s="50" t="s">
        <v>2858</v>
      </c>
      <c r="P1206" s="50" t="s">
        <v>2859</v>
      </c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29.38"/>
    <col customWidth="1" min="3" max="3" width="15.63"/>
    <col customWidth="1" min="4" max="4" width="37.63"/>
    <col customWidth="1" min="5" max="5" width="22.88"/>
    <col customWidth="1" min="6" max="6" width="13.38"/>
    <col customWidth="1" min="7" max="7" width="13.63"/>
    <col customWidth="1" min="8" max="8" width="9.75"/>
    <col customWidth="1" min="9" max="9" width="12.75"/>
    <col customWidth="1" min="10" max="10" width="22.0"/>
    <col customWidth="1" min="11" max="11" width="19.38"/>
    <col customWidth="1" min="12" max="12" width="25.63"/>
    <col customWidth="1" min="13" max="13" width="11.75"/>
    <col customWidth="1" min="14" max="14" width="11.13"/>
    <col customWidth="1" min="15" max="15" width="19.88"/>
    <col customWidth="1" min="16" max="16" width="21.5"/>
    <col customWidth="1" min="17" max="17" width="18.75"/>
    <col customWidth="1" min="18" max="18" width="25.75"/>
    <col customWidth="1" min="19" max="20" width="10.63"/>
    <col customWidth="1" min="21" max="21" width="25.88"/>
    <col customWidth="1" min="22" max="23" width="10.63"/>
    <col customWidth="1" min="24" max="24" width="6.75"/>
    <col customWidth="1" min="25" max="25" width="21.38"/>
    <col customWidth="1" min="26" max="42" width="10.63"/>
  </cols>
  <sheetData>
    <row r="1" ht="13.5" customHeight="1">
      <c r="A1" s="64" t="s">
        <v>2860</v>
      </c>
      <c r="B1" s="65"/>
      <c r="C1" s="64" t="s">
        <v>18</v>
      </c>
      <c r="D1" s="64"/>
      <c r="E1" s="66"/>
      <c r="F1" s="66"/>
      <c r="G1" s="66"/>
      <c r="H1" s="66"/>
      <c r="I1" s="67"/>
      <c r="J1" s="68"/>
      <c r="K1" s="67"/>
      <c r="N1" s="69"/>
      <c r="O1" s="67"/>
      <c r="P1" s="67" t="s">
        <v>2861</v>
      </c>
      <c r="Q1" s="67" t="s">
        <v>2862</v>
      </c>
      <c r="R1" s="67" t="s">
        <v>2863</v>
      </c>
      <c r="S1" s="67"/>
      <c r="T1" s="67"/>
      <c r="Y1" s="50" t="s">
        <v>584</v>
      </c>
      <c r="Z1" s="50" t="s">
        <v>585</v>
      </c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</row>
    <row r="2" ht="27.0" customHeight="1">
      <c r="A2" s="70" t="s">
        <v>2864</v>
      </c>
      <c r="B2" s="71" t="s">
        <v>157</v>
      </c>
      <c r="C2" s="72" t="s">
        <v>2865</v>
      </c>
      <c r="D2" s="73" t="s">
        <v>21</v>
      </c>
      <c r="E2" s="74"/>
      <c r="F2" s="66"/>
      <c r="G2" s="66"/>
      <c r="H2" s="66"/>
      <c r="I2" s="67"/>
      <c r="J2" s="75" t="s">
        <v>2866</v>
      </c>
      <c r="K2" s="67"/>
      <c r="N2" s="69"/>
      <c r="O2" s="67"/>
      <c r="P2" s="76" t="s">
        <v>2867</v>
      </c>
      <c r="Q2" s="77">
        <v>46221.0</v>
      </c>
      <c r="R2" s="77">
        <v>46221.0</v>
      </c>
      <c r="T2" s="67"/>
      <c r="Y2" s="58" t="str">
        <f>IFERROR(__xludf.DUMMYFUNCTION("FILTER(Ubicaciones!$N$72:$N$1206,Ubicaciones!$L$72:$L$1206=$B$2)"),"Anzoátegui")</f>
        <v>Anzoátegui</v>
      </c>
      <c r="Z2" s="58" t="str">
        <f>IFERROR(__xludf.DUMMYFUNCTION("FILTER(Ubicaciones!P72:P1206,(Ubicaciones!N72:N1206=B3) * (Ubicaciones!L72:L1206=B2))"),"#N/A")</f>
        <v>#N/A</v>
      </c>
      <c r="AA2" s="5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58"/>
      <c r="AN2" s="58"/>
      <c r="AO2" s="58"/>
      <c r="AP2" s="58"/>
    </row>
    <row r="3" ht="13.5" customHeight="1">
      <c r="A3" s="70" t="s">
        <v>2868</v>
      </c>
      <c r="B3" s="79" t="s">
        <v>1857</v>
      </c>
      <c r="C3" s="72" t="s">
        <v>2869</v>
      </c>
      <c r="D3" s="80" t="s">
        <v>75</v>
      </c>
      <c r="E3" s="66"/>
      <c r="F3" s="66"/>
      <c r="G3" s="66"/>
      <c r="H3" s="66"/>
      <c r="I3" s="67"/>
      <c r="J3" s="67" t="str">
        <f>B12&amp;C12&amp;D12</f>
        <v>DSFSDDADFDASDF58Hombre</v>
      </c>
      <c r="K3" s="67"/>
      <c r="N3" s="69"/>
      <c r="O3" s="67"/>
      <c r="P3" s="81" t="s">
        <v>2870</v>
      </c>
      <c r="Q3" s="70" t="s">
        <v>2871</v>
      </c>
      <c r="R3" s="67"/>
      <c r="S3" s="67"/>
      <c r="T3" s="67"/>
      <c r="Y3" s="57" t="str">
        <f>IFERROR(__xludf.DUMMYFUNCTION("""COMPUTED_VALUE"""),"Anzoátegui")</f>
        <v>Anzoátegui</v>
      </c>
    </row>
    <row r="4" ht="37.5" customHeight="1">
      <c r="A4" s="70" t="s">
        <v>2872</v>
      </c>
      <c r="B4" s="79" t="s">
        <v>836</v>
      </c>
      <c r="C4" s="72" t="s">
        <v>2873</v>
      </c>
      <c r="D4" s="82" t="s">
        <v>2874</v>
      </c>
      <c r="E4" s="66"/>
      <c r="F4" s="66"/>
      <c r="G4" s="66"/>
      <c r="H4" s="66"/>
      <c r="I4" s="67"/>
      <c r="J4" s="83" t="s">
        <v>2875</v>
      </c>
      <c r="K4" s="67"/>
      <c r="N4" s="69"/>
      <c r="O4" s="67"/>
      <c r="P4" s="81" t="s">
        <v>2876</v>
      </c>
      <c r="Q4" s="81">
        <f>SUM(Q5:Q10)+sum(S5:S8)</f>
        <v>0</v>
      </c>
      <c r="R4" s="67"/>
      <c r="S4" s="67"/>
      <c r="T4" s="67"/>
      <c r="Y4" s="57" t="str">
        <f>IFERROR(__xludf.DUMMYFUNCTION("""COMPUTED_VALUE"""),"Tinaquillo")</f>
        <v>Tinaquillo</v>
      </c>
    </row>
    <row r="5" ht="13.5" customHeight="1">
      <c r="A5" s="84" t="s">
        <v>2877</v>
      </c>
      <c r="B5" s="85" t="s">
        <v>107</v>
      </c>
      <c r="C5" s="86" t="s">
        <v>2878</v>
      </c>
      <c r="D5" s="77">
        <v>46221.0</v>
      </c>
      <c r="E5" s="66"/>
      <c r="F5" s="66"/>
      <c r="G5" s="66"/>
      <c r="H5" s="66"/>
      <c r="I5" s="67"/>
      <c r="J5" s="87">
        <f>IFERROR(MATCH(E12,Tabla_1[Cedula] , 0), 0)</f>
        <v>0</v>
      </c>
      <c r="K5" s="67"/>
      <c r="N5" s="69"/>
      <c r="O5" s="67"/>
      <c r="P5" s="88" t="s">
        <v>2879</v>
      </c>
      <c r="Q5" s="89">
        <f>COUNTIFS(Tabla_1[Edad], "&gt;=0", Tabla_1[Edad], "&lt;=5", Tabla_1[Estado], B2, Tabla_1[Municipio], B3, Tabla_1[Parroquia], D3, Tabla_1[Fecha atencion], "&gt;="&amp;Q2, Tabla_1[Fecha atencion], "&lt;="&amp;R2)</f>
        <v>0</v>
      </c>
      <c r="R5" s="88" t="s">
        <v>2880</v>
      </c>
      <c r="S5" s="81"/>
      <c r="T5" s="90"/>
      <c r="Y5" s="57" t="str">
        <f>IFERROR(__xludf.DUMMYFUNCTION("""COMPUTED_VALUE"""),"Girardot")</f>
        <v>Girardot</v>
      </c>
    </row>
    <row r="6" ht="26.25" customHeight="1">
      <c r="A6" s="86" t="s">
        <v>2881</v>
      </c>
      <c r="B6" s="91" t="s">
        <v>2882</v>
      </c>
      <c r="C6" s="92" t="str">
        <f>IF(COUNTBLANK(D2:D5)&gt;0, "Faltan datos en Actividades", "")</f>
        <v/>
      </c>
      <c r="D6" s="66"/>
      <c r="E6" s="74"/>
      <c r="F6" s="66"/>
      <c r="G6" s="66"/>
      <c r="H6" s="66"/>
      <c r="I6" s="67"/>
      <c r="J6" s="93" t="s">
        <v>2883</v>
      </c>
      <c r="K6" s="67"/>
      <c r="N6" s="69"/>
      <c r="O6" s="67"/>
      <c r="P6" s="88" t="s">
        <v>2884</v>
      </c>
      <c r="Q6" s="81"/>
      <c r="R6" s="88" t="s">
        <v>2885</v>
      </c>
      <c r="S6" s="81"/>
      <c r="T6" s="67"/>
      <c r="Y6" s="57" t="str">
        <f>IFERROR(__xludf.DUMMYFUNCTION("""COMPUTED_VALUE"""),"Girardot")</f>
        <v>Girardot</v>
      </c>
    </row>
    <row r="7" ht="13.5" customHeight="1">
      <c r="A7" s="86" t="s">
        <v>2886</v>
      </c>
      <c r="B7" s="94">
        <v>0.956565</v>
      </c>
      <c r="C7" s="68"/>
      <c r="D7" s="67"/>
      <c r="E7" s="74"/>
      <c r="F7" s="66"/>
      <c r="G7" s="66"/>
      <c r="H7" s="66"/>
      <c r="I7" s="67"/>
      <c r="J7" s="87">
        <f>IFERROR(MATCH(J3, Tabla_1[Clave], 0), 0)</f>
        <v>0</v>
      </c>
      <c r="K7" s="67"/>
      <c r="N7" s="69"/>
      <c r="O7" s="67"/>
      <c r="P7" s="88" t="s">
        <v>2887</v>
      </c>
      <c r="Q7" s="81"/>
      <c r="R7" s="88" t="s">
        <v>2888</v>
      </c>
      <c r="S7" s="81"/>
      <c r="T7" s="67"/>
      <c r="Y7" s="57" t="str">
        <f>IFERROR(__xludf.DUMMYFUNCTION("""COMPUTED_VALUE"""),"Lima Blanco")</f>
        <v>Lima Blanco</v>
      </c>
    </row>
    <row r="8" ht="13.5" customHeight="1">
      <c r="A8" s="86" t="s">
        <v>2889</v>
      </c>
      <c r="B8" s="95">
        <v>-59.99999</v>
      </c>
      <c r="C8" s="68"/>
      <c r="D8" s="67"/>
      <c r="E8" s="66"/>
      <c r="F8" s="66"/>
      <c r="G8" s="66"/>
      <c r="H8" s="66"/>
      <c r="I8" s="67"/>
      <c r="J8" s="68" t="str">
        <f>if(or(A9&lt;&gt;"",C6&lt;&gt;"",A13&lt;&gt;""),"Faltan datos","")</f>
        <v/>
      </c>
      <c r="K8" s="67"/>
      <c r="N8" s="69"/>
      <c r="O8" s="67"/>
      <c r="P8" s="88" t="s">
        <v>2890</v>
      </c>
      <c r="Q8" s="81"/>
      <c r="R8" s="88" t="s">
        <v>2891</v>
      </c>
      <c r="S8" s="81"/>
      <c r="T8" s="67"/>
      <c r="Y8" s="57" t="str">
        <f>IFERROR(__xludf.DUMMYFUNCTION("""COMPUTED_VALUE"""),"Lima Blanco")</f>
        <v>Lima Blanco</v>
      </c>
    </row>
    <row r="9" ht="13.5" customHeight="1">
      <c r="A9" s="92" t="str">
        <f>IF(COUNTBLANK(B2:B6)&gt;0, "Faltan datos en Ubicacion", "")</f>
        <v/>
      </c>
      <c r="B9" s="65"/>
      <c r="C9" s="92"/>
      <c r="D9" s="67"/>
      <c r="E9" s="66"/>
      <c r="F9" s="66"/>
      <c r="G9" s="66"/>
      <c r="H9" s="66"/>
      <c r="I9" s="67"/>
      <c r="J9" s="67"/>
      <c r="K9" s="67"/>
      <c r="N9" s="69"/>
      <c r="O9" s="67"/>
      <c r="P9" s="88" t="s">
        <v>2892</v>
      </c>
      <c r="Q9" s="81"/>
      <c r="R9" s="96" t="s">
        <v>2893</v>
      </c>
      <c r="S9" s="81"/>
      <c r="T9" s="67"/>
      <c r="Y9" s="57" t="str">
        <f>IFERROR(__xludf.DUMMYFUNCTION("""COMPUTED_VALUE"""),"Pao De San Juan Bautista")</f>
        <v>Pao De San Juan Bautista</v>
      </c>
    </row>
    <row r="10" ht="13.5" customHeight="1">
      <c r="A10" s="97" t="s">
        <v>2894</v>
      </c>
      <c r="B10" s="65"/>
      <c r="C10" s="68"/>
      <c r="D10" s="67"/>
      <c r="E10" s="66"/>
      <c r="F10" s="74"/>
      <c r="G10" s="66"/>
      <c r="H10" s="66"/>
      <c r="I10" s="67"/>
      <c r="J10" s="68" t="str">
        <f>if(Or(J7&lt;&gt;0,J5&lt;&gt;0,J8&lt;&gt;""),"Alerta de recurrencia","")</f>
        <v/>
      </c>
      <c r="K10" s="67"/>
      <c r="L10" s="67"/>
      <c r="M10" s="67"/>
      <c r="N10" s="69"/>
      <c r="O10" s="67"/>
      <c r="P10" s="88" t="s">
        <v>2892</v>
      </c>
      <c r="Q10" s="81"/>
      <c r="R10" s="96" t="s">
        <v>2895</v>
      </c>
      <c r="S10" s="81"/>
      <c r="T10" s="67"/>
      <c r="Y10" s="57" t="str">
        <f>IFERROR(__xludf.DUMMYFUNCTION("""COMPUTED_VALUE"""),"Ricaurte")</f>
        <v>Ricaurte</v>
      </c>
    </row>
    <row r="11" ht="13.5" customHeight="1">
      <c r="A11" s="98" t="s">
        <v>2896</v>
      </c>
      <c r="B11" s="86" t="s">
        <v>2897</v>
      </c>
      <c r="C11" s="86" t="s">
        <v>2898</v>
      </c>
      <c r="D11" s="86" t="s">
        <v>2899</v>
      </c>
      <c r="E11" s="86" t="s">
        <v>2900</v>
      </c>
      <c r="F11" s="86" t="s">
        <v>2901</v>
      </c>
      <c r="G11" s="86" t="s">
        <v>2902</v>
      </c>
      <c r="H11" s="86" t="s">
        <v>2903</v>
      </c>
      <c r="I11" s="86" t="s">
        <v>2904</v>
      </c>
      <c r="J11" s="86" t="s">
        <v>2905</v>
      </c>
      <c r="N11" s="69"/>
      <c r="O11" s="67"/>
      <c r="P11" s="69"/>
      <c r="Q11" s="67"/>
      <c r="R11" s="96" t="s">
        <v>2906</v>
      </c>
      <c r="S11" s="81"/>
      <c r="T11" s="67"/>
      <c r="Y11" s="57" t="str">
        <f>IFERROR(__xludf.DUMMYFUNCTION("""COMPUTED_VALUE"""),"Ricaurte")</f>
        <v>Ricaurte</v>
      </c>
    </row>
    <row r="12" ht="22.5" customHeight="1">
      <c r="A12" s="99">
        <f>MAX(Datos!$A$16:$A$19)+1</f>
        <v>5</v>
      </c>
      <c r="B12" s="100" t="s">
        <v>2907</v>
      </c>
      <c r="C12" s="86">
        <v>58.0</v>
      </c>
      <c r="D12" s="86" t="s">
        <v>28</v>
      </c>
      <c r="E12" s="101">
        <v>7419661.0</v>
      </c>
      <c r="F12" s="102">
        <v>4.161501418E9</v>
      </c>
      <c r="G12" s="103" t="s">
        <v>22</v>
      </c>
      <c r="H12" s="70" t="s">
        <v>22</v>
      </c>
      <c r="I12" s="70" t="s">
        <v>2908</v>
      </c>
      <c r="J12" s="70" t="s">
        <v>2908</v>
      </c>
      <c r="K12" s="67"/>
      <c r="L12" s="67"/>
      <c r="N12" s="69"/>
      <c r="O12" s="67"/>
      <c r="P12" s="69"/>
      <c r="Q12" s="67"/>
      <c r="R12" s="67"/>
      <c r="S12" s="67"/>
      <c r="T12" s="67"/>
      <c r="Y12" s="57" t="str">
        <f>IFERROR(__xludf.DUMMYFUNCTION("""COMPUTED_VALUE"""),"Rómulo Gallegos")</f>
        <v>Rómulo Gallegos</v>
      </c>
    </row>
    <row r="13" ht="22.5" customHeight="1">
      <c r="A13" s="92" t="str">
        <f>IF(OR(COUNTBLANK(B12:D12)&gt;0,COUNTBLANK(G12:J12)&gt;0), "Faltan datos en Beneficiarios", "")</f>
        <v/>
      </c>
      <c r="B13" s="67"/>
      <c r="C13" s="68"/>
      <c r="D13" s="68"/>
      <c r="E13" s="66"/>
      <c r="F13" s="66"/>
      <c r="G13" s="66"/>
      <c r="H13" s="66"/>
      <c r="I13" s="67"/>
      <c r="J13" s="68"/>
      <c r="K13" s="67"/>
      <c r="L13" s="67"/>
      <c r="M13" s="67"/>
      <c r="N13" s="69"/>
      <c r="O13" s="67"/>
      <c r="P13" s="69"/>
      <c r="Q13" s="67"/>
      <c r="R13" s="67"/>
      <c r="S13" s="67"/>
      <c r="T13" s="67"/>
      <c r="Y13" s="57" t="str">
        <f>IFERROR(__xludf.DUMMYFUNCTION("""COMPUTED_VALUE"""),"Ezequiel Zamora")</f>
        <v>Ezequiel Zamora</v>
      </c>
    </row>
    <row r="14" ht="13.5" customHeight="1">
      <c r="A14" s="104"/>
      <c r="B14" s="65"/>
      <c r="C14" s="68"/>
      <c r="D14" s="68"/>
      <c r="E14" s="66"/>
      <c r="F14" s="66"/>
      <c r="G14" s="66"/>
      <c r="H14" s="66"/>
      <c r="I14" s="67"/>
      <c r="J14" s="68"/>
      <c r="K14" s="67"/>
      <c r="L14" s="67"/>
      <c r="M14" s="67"/>
      <c r="N14" s="69"/>
      <c r="O14" s="67"/>
      <c r="P14" s="69"/>
      <c r="Q14" s="67"/>
      <c r="R14" s="67"/>
      <c r="S14" s="67"/>
      <c r="T14" s="67"/>
      <c r="Y14" s="57" t="str">
        <f>IFERROR(__xludf.DUMMYFUNCTION("""COMPUTED_VALUE"""),"Ezequiel Zamora")</f>
        <v>Ezequiel Zamora</v>
      </c>
    </row>
    <row r="15" ht="13.5" customHeight="1">
      <c r="A15" s="105" t="s">
        <v>2896</v>
      </c>
      <c r="B15" s="106" t="s">
        <v>2909</v>
      </c>
      <c r="C15" s="106" t="s">
        <v>2910</v>
      </c>
      <c r="D15" s="106" t="s">
        <v>2911</v>
      </c>
      <c r="E15" s="107" t="s">
        <v>2912</v>
      </c>
      <c r="F15" s="108" t="s">
        <v>2913</v>
      </c>
      <c r="G15" s="105" t="s">
        <v>2914</v>
      </c>
      <c r="H15" s="105" t="s">
        <v>2915</v>
      </c>
      <c r="I15" s="105" t="s">
        <v>2916</v>
      </c>
      <c r="J15" s="109" t="s">
        <v>2917</v>
      </c>
      <c r="K15" s="105" t="s">
        <v>2873</v>
      </c>
      <c r="L15" s="110" t="s">
        <v>2918</v>
      </c>
      <c r="M15" s="105" t="s">
        <v>2919</v>
      </c>
      <c r="N15" s="105" t="s">
        <v>2920</v>
      </c>
      <c r="O15" s="105" t="s">
        <v>2921</v>
      </c>
      <c r="P15" s="105" t="s">
        <v>2900</v>
      </c>
      <c r="Q15" s="105" t="s">
        <v>2901</v>
      </c>
      <c r="R15" s="105" t="s">
        <v>292</v>
      </c>
      <c r="S15" s="105" t="s">
        <v>2922</v>
      </c>
      <c r="T15" s="105" t="s">
        <v>2923</v>
      </c>
      <c r="U15" s="105" t="s">
        <v>2924</v>
      </c>
      <c r="V15" s="1" t="s">
        <v>2925</v>
      </c>
      <c r="Y15" s="57" t="str">
        <f>IFERROR(__xludf.DUMMYFUNCTION("""COMPUTED_VALUE"""),"Ezequiel Zamora")</f>
        <v>Ezequiel Zamora</v>
      </c>
    </row>
    <row r="16" ht="13.5" customHeight="1">
      <c r="A16" s="111">
        <v>4.0</v>
      </c>
      <c r="B16" s="112" t="s">
        <v>32</v>
      </c>
      <c r="C16" s="113" t="s">
        <v>34</v>
      </c>
      <c r="D16" s="114" t="s">
        <v>36</v>
      </c>
      <c r="E16" s="115" t="s">
        <v>57</v>
      </c>
      <c r="F16" s="113" t="s">
        <v>2926</v>
      </c>
      <c r="G16" s="116">
        <v>0.956565</v>
      </c>
      <c r="H16" s="116">
        <v>-59.99999</v>
      </c>
      <c r="I16" s="115" t="s">
        <v>21</v>
      </c>
      <c r="J16" s="117" t="s">
        <v>163</v>
      </c>
      <c r="K16" s="118" t="s">
        <v>2927</v>
      </c>
      <c r="L16" s="119" t="s">
        <v>2928</v>
      </c>
      <c r="M16" s="120" t="s">
        <v>2929</v>
      </c>
      <c r="N16" s="120">
        <v>2.0</v>
      </c>
      <c r="O16" s="120" t="s">
        <v>28</v>
      </c>
      <c r="P16" s="120">
        <v>2.0</v>
      </c>
      <c r="Q16" s="120">
        <v>2.0</v>
      </c>
      <c r="R16" s="121" t="s">
        <v>2930</v>
      </c>
      <c r="S16" s="120" t="s">
        <v>22</v>
      </c>
      <c r="T16" s="120" t="s">
        <v>2931</v>
      </c>
      <c r="U16" s="120" t="s">
        <v>2871</v>
      </c>
      <c r="V16" s="122" t="str">
        <f t="shared" ref="V16:V19" si="1">M16&amp;N16&amp;O16</f>
        <v>a2Hombre</v>
      </c>
      <c r="Y16" s="57" t="str">
        <f>IFERROR(__xludf.DUMMYFUNCTION("""COMPUTED_VALUE"""),"Tinaco")</f>
        <v>Tinaco</v>
      </c>
    </row>
    <row r="17" ht="13.5" customHeight="1">
      <c r="A17" s="111">
        <v>3.0</v>
      </c>
      <c r="B17" s="112" t="s">
        <v>32</v>
      </c>
      <c r="C17" s="113" t="s">
        <v>34</v>
      </c>
      <c r="D17" s="114" t="s">
        <v>36</v>
      </c>
      <c r="E17" s="115" t="s">
        <v>57</v>
      </c>
      <c r="F17" s="113" t="s">
        <v>2926</v>
      </c>
      <c r="G17" s="116">
        <v>0.956565</v>
      </c>
      <c r="H17" s="116">
        <v>-59.99999</v>
      </c>
      <c r="I17" s="115" t="s">
        <v>21</v>
      </c>
      <c r="J17" s="117" t="s">
        <v>163</v>
      </c>
      <c r="K17" s="118" t="s">
        <v>2927</v>
      </c>
      <c r="L17" s="119" t="s">
        <v>2928</v>
      </c>
      <c r="M17" s="120" t="s">
        <v>2929</v>
      </c>
      <c r="N17" s="120">
        <v>2.0</v>
      </c>
      <c r="O17" s="120" t="s">
        <v>28</v>
      </c>
      <c r="P17" s="120">
        <v>2.0</v>
      </c>
      <c r="Q17" s="120">
        <v>2.0</v>
      </c>
      <c r="R17" s="121" t="s">
        <v>22</v>
      </c>
      <c r="S17" s="120" t="s">
        <v>22</v>
      </c>
      <c r="T17" s="120" t="s">
        <v>2931</v>
      </c>
      <c r="U17" s="120" t="s">
        <v>2908</v>
      </c>
      <c r="V17" s="122" t="str">
        <f t="shared" si="1"/>
        <v>a2Hombre</v>
      </c>
    </row>
    <row r="18" ht="13.5" customHeight="1">
      <c r="A18" s="111">
        <v>2.0</v>
      </c>
      <c r="B18" s="112" t="s">
        <v>32</v>
      </c>
      <c r="C18" s="113" t="s">
        <v>34</v>
      </c>
      <c r="D18" s="114" t="s">
        <v>36</v>
      </c>
      <c r="E18" s="115" t="s">
        <v>57</v>
      </c>
      <c r="F18" s="113" t="s">
        <v>2926</v>
      </c>
      <c r="G18" s="116">
        <v>0.956565</v>
      </c>
      <c r="H18" s="116">
        <v>-59.99999</v>
      </c>
      <c r="I18" s="115" t="s">
        <v>21</v>
      </c>
      <c r="J18" s="117" t="s">
        <v>163</v>
      </c>
      <c r="K18" s="118" t="s">
        <v>2927</v>
      </c>
      <c r="L18" s="119" t="s">
        <v>2928</v>
      </c>
      <c r="M18" s="120" t="s">
        <v>2932</v>
      </c>
      <c r="N18" s="120">
        <v>5.0</v>
      </c>
      <c r="O18" s="120" t="s">
        <v>28</v>
      </c>
      <c r="P18" s="120">
        <v>444.0</v>
      </c>
      <c r="Q18" s="120">
        <v>4444.0</v>
      </c>
      <c r="R18" s="121" t="s">
        <v>22</v>
      </c>
      <c r="S18" s="120" t="s">
        <v>41</v>
      </c>
      <c r="T18" s="120" t="s">
        <v>2908</v>
      </c>
      <c r="U18" s="120" t="s">
        <v>2871</v>
      </c>
      <c r="V18" s="122" t="str">
        <f t="shared" si="1"/>
        <v>sfsdfsf5Hombre</v>
      </c>
    </row>
    <row r="19" ht="13.5" customHeight="1">
      <c r="A19" s="105">
        <v>1.0</v>
      </c>
      <c r="B19" s="112" t="s">
        <v>32</v>
      </c>
      <c r="C19" s="113" t="s">
        <v>34</v>
      </c>
      <c r="D19" s="114" t="s">
        <v>36</v>
      </c>
      <c r="E19" s="115" t="s">
        <v>57</v>
      </c>
      <c r="F19" s="113" t="s">
        <v>2926</v>
      </c>
      <c r="G19" s="116">
        <v>0.956565</v>
      </c>
      <c r="H19" s="116">
        <v>-59.99999</v>
      </c>
      <c r="I19" s="115" t="s">
        <v>21</v>
      </c>
      <c r="J19" s="117" t="s">
        <v>163</v>
      </c>
      <c r="K19" s="118" t="s">
        <v>2927</v>
      </c>
      <c r="L19" s="119" t="s">
        <v>2928</v>
      </c>
      <c r="M19" s="120" t="s">
        <v>2933</v>
      </c>
      <c r="N19" s="120">
        <v>66.0</v>
      </c>
      <c r="O19" s="120" t="s">
        <v>47</v>
      </c>
      <c r="P19" s="120">
        <v>444444.0</v>
      </c>
      <c r="Q19" s="120">
        <v>77777.0</v>
      </c>
      <c r="R19" s="121" t="s">
        <v>334</v>
      </c>
      <c r="S19" s="120" t="s">
        <v>238</v>
      </c>
      <c r="T19" s="120" t="s">
        <v>2908</v>
      </c>
      <c r="U19" s="120" t="s">
        <v>2908</v>
      </c>
      <c r="V19" s="122" t="str">
        <f t="shared" si="1"/>
        <v>gfgfggff66Mujer</v>
      </c>
    </row>
    <row r="20" ht="13.5" customHeight="1">
      <c r="A20" s="123"/>
    </row>
    <row r="21" ht="13.5" customHeight="1">
      <c r="A21" s="124"/>
      <c r="B21" s="125"/>
    </row>
    <row r="22" ht="13.5" customHeight="1">
      <c r="A22" s="124"/>
      <c r="B22" s="125"/>
    </row>
    <row r="23" ht="13.5" customHeight="1">
      <c r="A23" s="124"/>
      <c r="B23" s="125"/>
    </row>
    <row r="24" ht="13.5" customHeight="1">
      <c r="A24" s="124"/>
      <c r="B24" s="125"/>
    </row>
    <row r="25" ht="13.5" customHeight="1">
      <c r="A25" s="124"/>
      <c r="B25" s="125"/>
    </row>
    <row r="26" ht="13.5" customHeight="1">
      <c r="A26" s="124"/>
      <c r="B26" s="125"/>
    </row>
    <row r="27" ht="13.5" customHeight="1">
      <c r="A27" s="124"/>
      <c r="B27" s="125"/>
    </row>
    <row r="28" ht="13.5" customHeight="1">
      <c r="A28" s="124"/>
      <c r="B28" s="125"/>
    </row>
    <row r="29" ht="13.5" customHeight="1">
      <c r="A29" s="124"/>
      <c r="B29" s="125"/>
    </row>
    <row r="30" ht="13.5" customHeight="1">
      <c r="A30" s="124"/>
      <c r="B30" s="125"/>
    </row>
    <row r="31" ht="13.5" customHeight="1">
      <c r="A31" s="124"/>
      <c r="B31" s="125"/>
    </row>
    <row r="32" ht="13.5" customHeight="1">
      <c r="A32" s="124"/>
      <c r="B32" s="125"/>
    </row>
    <row r="33" ht="13.5" customHeight="1">
      <c r="A33" s="124"/>
      <c r="B33" s="125"/>
    </row>
    <row r="34" ht="13.5" customHeight="1">
      <c r="A34" s="124"/>
      <c r="B34" s="125"/>
    </row>
    <row r="35" ht="13.5" customHeight="1">
      <c r="A35" s="124"/>
      <c r="B35" s="125"/>
    </row>
    <row r="36" ht="13.5" customHeight="1">
      <c r="A36" s="124"/>
      <c r="B36" s="125"/>
    </row>
    <row r="37" ht="13.5" customHeight="1">
      <c r="A37" s="124"/>
      <c r="B37" s="125"/>
    </row>
    <row r="38" ht="13.5" customHeight="1">
      <c r="A38" s="124"/>
      <c r="B38" s="125"/>
    </row>
    <row r="39" ht="13.5" customHeight="1">
      <c r="A39" s="124"/>
      <c r="B39" s="125"/>
    </row>
    <row r="40" ht="13.5" customHeight="1">
      <c r="A40" s="124"/>
      <c r="B40" s="125"/>
    </row>
    <row r="41" ht="13.5" customHeight="1">
      <c r="A41" s="124"/>
      <c r="B41" s="125"/>
    </row>
    <row r="42" ht="13.5" customHeight="1">
      <c r="A42" s="124"/>
      <c r="B42" s="125"/>
    </row>
    <row r="43" ht="13.5" customHeight="1">
      <c r="A43" s="124"/>
      <c r="B43" s="125"/>
    </row>
    <row r="44" ht="13.5" customHeight="1">
      <c r="A44" s="124"/>
      <c r="B44" s="125"/>
    </row>
    <row r="45" ht="13.5" customHeight="1">
      <c r="A45" s="124"/>
      <c r="B45" s="125"/>
    </row>
    <row r="46" ht="13.5" customHeight="1">
      <c r="A46" s="124"/>
      <c r="B46" s="125"/>
    </row>
    <row r="47" ht="13.5" customHeight="1">
      <c r="A47" s="124"/>
      <c r="B47" s="125"/>
    </row>
    <row r="48" ht="13.5" customHeight="1">
      <c r="A48" s="124"/>
      <c r="B48" s="125"/>
    </row>
    <row r="49" ht="13.5" customHeight="1">
      <c r="A49" s="124"/>
      <c r="B49" s="125"/>
    </row>
    <row r="50" ht="13.5" customHeight="1">
      <c r="A50" s="124"/>
      <c r="B50" s="125"/>
    </row>
    <row r="51" ht="13.5" customHeight="1">
      <c r="A51" s="124"/>
      <c r="B51" s="125"/>
    </row>
    <row r="52" ht="13.5" customHeight="1">
      <c r="A52" s="124"/>
      <c r="B52" s="125"/>
    </row>
    <row r="53" ht="13.5" customHeight="1">
      <c r="A53" s="124"/>
      <c r="B53" s="125"/>
    </row>
    <row r="54" ht="13.5" customHeight="1">
      <c r="A54" s="124"/>
      <c r="B54" s="125"/>
    </row>
    <row r="55" ht="13.5" customHeight="1">
      <c r="A55" s="124"/>
      <c r="B55" s="125"/>
    </row>
    <row r="56" ht="13.5" customHeight="1">
      <c r="A56" s="124"/>
      <c r="B56" s="125"/>
    </row>
    <row r="57" ht="13.5" customHeight="1">
      <c r="A57" s="124"/>
      <c r="B57" s="125"/>
    </row>
    <row r="58" ht="13.5" customHeight="1">
      <c r="A58" s="124"/>
      <c r="B58" s="125"/>
    </row>
    <row r="59" ht="13.5" customHeight="1">
      <c r="A59" s="124"/>
      <c r="B59" s="125"/>
    </row>
    <row r="60" ht="13.5" customHeight="1">
      <c r="A60" s="124"/>
      <c r="B60" s="125"/>
    </row>
    <row r="61" ht="13.5" customHeight="1">
      <c r="A61" s="124"/>
      <c r="B61" s="125"/>
    </row>
    <row r="62" ht="13.5" customHeight="1">
      <c r="A62" s="124"/>
      <c r="B62" s="125"/>
    </row>
    <row r="63" ht="13.5" customHeight="1">
      <c r="A63" s="124"/>
      <c r="B63" s="125"/>
    </row>
    <row r="64" ht="13.5" customHeight="1">
      <c r="A64" s="124"/>
      <c r="B64" s="125"/>
    </row>
    <row r="65" ht="13.5" customHeight="1">
      <c r="A65" s="124"/>
      <c r="B65" s="125"/>
    </row>
    <row r="66" ht="13.5" customHeight="1">
      <c r="A66" s="124"/>
      <c r="B66" s="125"/>
    </row>
    <row r="67" ht="13.5" customHeight="1">
      <c r="A67" s="124"/>
      <c r="B67" s="125"/>
    </row>
    <row r="68" ht="13.5" customHeight="1">
      <c r="A68" s="124"/>
      <c r="B68" s="125"/>
    </row>
    <row r="69" ht="13.5" customHeight="1">
      <c r="A69" s="124"/>
      <c r="B69" s="125"/>
    </row>
    <row r="70" ht="13.5" customHeight="1">
      <c r="A70" s="124"/>
      <c r="B70" s="125"/>
    </row>
    <row r="71" ht="13.5" customHeight="1">
      <c r="A71" s="124"/>
      <c r="B71" s="125"/>
    </row>
    <row r="72" ht="13.5" customHeight="1">
      <c r="A72" s="124"/>
      <c r="B72" s="125"/>
    </row>
    <row r="73" ht="13.5" customHeight="1">
      <c r="A73" s="124"/>
      <c r="B73" s="125"/>
    </row>
    <row r="74" ht="13.5" customHeight="1">
      <c r="A74" s="124"/>
      <c r="B74" s="125"/>
    </row>
    <row r="75" ht="13.5" customHeight="1">
      <c r="A75" s="124"/>
      <c r="B75" s="125"/>
    </row>
    <row r="76" ht="13.5" customHeight="1">
      <c r="A76" s="124"/>
      <c r="B76" s="125"/>
    </row>
    <row r="77" ht="13.5" customHeight="1">
      <c r="A77" s="124"/>
      <c r="B77" s="125"/>
    </row>
    <row r="78" ht="13.5" customHeight="1">
      <c r="A78" s="124"/>
      <c r="B78" s="125"/>
    </row>
    <row r="79" ht="13.5" customHeight="1">
      <c r="A79" s="124"/>
      <c r="B79" s="125"/>
    </row>
    <row r="80" ht="13.5" customHeight="1">
      <c r="A80" s="124"/>
      <c r="B80" s="125"/>
    </row>
    <row r="81" ht="13.5" customHeight="1">
      <c r="A81" s="124"/>
      <c r="B81" s="125"/>
    </row>
    <row r="82" ht="13.5" customHeight="1">
      <c r="A82" s="124"/>
      <c r="B82" s="125"/>
    </row>
    <row r="83" ht="13.5" customHeight="1">
      <c r="A83" s="124"/>
      <c r="B83" s="125"/>
    </row>
    <row r="84" ht="13.5" customHeight="1">
      <c r="A84" s="124"/>
      <c r="B84" s="125"/>
    </row>
    <row r="85" ht="13.5" customHeight="1">
      <c r="A85" s="124"/>
      <c r="B85" s="125"/>
    </row>
    <row r="86" ht="13.5" customHeight="1">
      <c r="A86" s="124"/>
      <c r="B86" s="125"/>
    </row>
    <row r="87" ht="13.5" customHeight="1">
      <c r="A87" s="124"/>
      <c r="B87" s="125"/>
    </row>
    <row r="88" ht="13.5" customHeight="1">
      <c r="A88" s="124"/>
      <c r="B88" s="125"/>
    </row>
    <row r="89" ht="13.5" customHeight="1">
      <c r="A89" s="124"/>
      <c r="B89" s="125"/>
    </row>
    <row r="90" ht="13.5" customHeight="1">
      <c r="A90" s="124"/>
      <c r="B90" s="125"/>
    </row>
    <row r="91" ht="13.5" customHeight="1">
      <c r="A91" s="124"/>
      <c r="B91" s="125"/>
    </row>
    <row r="92" ht="13.5" customHeight="1">
      <c r="A92" s="124"/>
      <c r="B92" s="125"/>
    </row>
    <row r="93" ht="13.5" customHeight="1">
      <c r="A93" s="124"/>
      <c r="B93" s="125"/>
    </row>
    <row r="94" ht="13.5" customHeight="1">
      <c r="A94" s="124"/>
      <c r="B94" s="125"/>
    </row>
    <row r="95" ht="13.5" customHeight="1">
      <c r="A95" s="124"/>
      <c r="B95" s="125"/>
    </row>
    <row r="96" ht="13.5" customHeight="1">
      <c r="A96" s="124"/>
      <c r="B96" s="125"/>
    </row>
    <row r="97" ht="13.5" customHeight="1">
      <c r="A97" s="124"/>
      <c r="B97" s="125"/>
    </row>
    <row r="98" ht="13.5" customHeight="1">
      <c r="A98" s="124"/>
      <c r="B98" s="125"/>
    </row>
    <row r="99" ht="13.5" customHeight="1">
      <c r="A99" s="124"/>
      <c r="B99" s="125"/>
    </row>
    <row r="100" ht="13.5" customHeight="1">
      <c r="A100" s="124"/>
      <c r="B100" s="125"/>
    </row>
    <row r="101" ht="13.5" customHeight="1">
      <c r="A101" s="124"/>
      <c r="B101" s="125"/>
    </row>
    <row r="102" ht="13.5" customHeight="1">
      <c r="A102" s="124"/>
      <c r="B102" s="125"/>
    </row>
    <row r="103" ht="13.5" customHeight="1">
      <c r="A103" s="124"/>
      <c r="B103" s="125"/>
    </row>
    <row r="104" ht="13.5" customHeight="1">
      <c r="A104" s="124"/>
      <c r="B104" s="125"/>
    </row>
    <row r="105" ht="13.5" customHeight="1">
      <c r="A105" s="124"/>
      <c r="B105" s="125"/>
    </row>
    <row r="106" ht="13.5" customHeight="1">
      <c r="A106" s="124"/>
      <c r="B106" s="125"/>
    </row>
    <row r="107" ht="13.5" customHeight="1">
      <c r="A107" s="124"/>
      <c r="B107" s="125"/>
    </row>
    <row r="108" ht="13.5" customHeight="1">
      <c r="A108" s="124"/>
      <c r="B108" s="125"/>
    </row>
    <row r="109" ht="13.5" customHeight="1">
      <c r="A109" s="124"/>
      <c r="B109" s="125"/>
    </row>
    <row r="110" ht="13.5" customHeight="1">
      <c r="A110" s="124"/>
      <c r="B110" s="125"/>
    </row>
    <row r="111" ht="13.5" customHeight="1">
      <c r="A111" s="124"/>
      <c r="B111" s="125"/>
    </row>
    <row r="112" ht="13.5" customHeight="1">
      <c r="A112" s="124"/>
      <c r="B112" s="125"/>
    </row>
    <row r="113" ht="13.5" customHeight="1">
      <c r="A113" s="124"/>
      <c r="B113" s="125"/>
    </row>
    <row r="114" ht="13.5" customHeight="1">
      <c r="A114" s="124"/>
      <c r="B114" s="125"/>
    </row>
    <row r="115" ht="13.5" customHeight="1">
      <c r="A115" s="124"/>
      <c r="B115" s="125"/>
    </row>
    <row r="116" ht="13.5" customHeight="1">
      <c r="A116" s="124"/>
      <c r="B116" s="125"/>
    </row>
    <row r="117" ht="13.5" customHeight="1">
      <c r="A117" s="124"/>
      <c r="B117" s="125"/>
    </row>
    <row r="118" ht="13.5" customHeight="1">
      <c r="A118" s="124"/>
      <c r="B118" s="125"/>
    </row>
    <row r="119" ht="13.5" customHeight="1">
      <c r="A119" s="124"/>
      <c r="B119" s="125"/>
    </row>
    <row r="120" ht="13.5" customHeight="1">
      <c r="A120" s="124"/>
      <c r="B120" s="125"/>
    </row>
    <row r="121" ht="13.5" customHeight="1">
      <c r="A121" s="124"/>
      <c r="B121" s="125"/>
    </row>
    <row r="122" ht="13.5" customHeight="1">
      <c r="A122" s="124"/>
      <c r="B122" s="125"/>
    </row>
    <row r="123" ht="13.5" customHeight="1">
      <c r="A123" s="124"/>
      <c r="B123" s="125"/>
    </row>
    <row r="124" ht="13.5" customHeight="1">
      <c r="A124" s="124"/>
      <c r="B124" s="125"/>
    </row>
    <row r="125" ht="13.5" customHeight="1">
      <c r="A125" s="124"/>
      <c r="B125" s="125"/>
    </row>
    <row r="126" ht="13.5" customHeight="1">
      <c r="A126" s="124"/>
      <c r="B126" s="125"/>
    </row>
    <row r="127" ht="13.5" customHeight="1">
      <c r="A127" s="124"/>
      <c r="B127" s="125"/>
    </row>
    <row r="128" ht="13.5" customHeight="1">
      <c r="A128" s="124"/>
      <c r="B128" s="125"/>
    </row>
    <row r="129" ht="13.5" customHeight="1">
      <c r="A129" s="124"/>
      <c r="B129" s="125"/>
    </row>
    <row r="130" ht="13.5" customHeight="1">
      <c r="A130" s="124"/>
      <c r="B130" s="125"/>
    </row>
    <row r="131" ht="13.5" customHeight="1">
      <c r="A131" s="124"/>
      <c r="B131" s="125"/>
    </row>
    <row r="132" ht="13.5" customHeight="1">
      <c r="A132" s="124"/>
      <c r="B132" s="125"/>
    </row>
    <row r="133" ht="13.5" customHeight="1">
      <c r="A133" s="124"/>
      <c r="B133" s="125"/>
    </row>
    <row r="134" ht="13.5" customHeight="1">
      <c r="A134" s="124"/>
      <c r="B134" s="125"/>
    </row>
    <row r="135" ht="13.5" customHeight="1">
      <c r="A135" s="124"/>
      <c r="B135" s="125"/>
    </row>
    <row r="136" ht="13.5" customHeight="1">
      <c r="A136" s="124"/>
      <c r="B136" s="125"/>
    </row>
    <row r="137" ht="13.5" customHeight="1">
      <c r="A137" s="124"/>
      <c r="B137" s="125"/>
    </row>
    <row r="138" ht="13.5" customHeight="1">
      <c r="A138" s="124"/>
      <c r="B138" s="125"/>
    </row>
    <row r="139" ht="13.5" customHeight="1">
      <c r="A139" s="124"/>
      <c r="B139" s="125"/>
    </row>
    <row r="140" ht="13.5" customHeight="1">
      <c r="A140" s="124"/>
      <c r="B140" s="125"/>
    </row>
    <row r="141" ht="13.5" customHeight="1">
      <c r="A141" s="124"/>
      <c r="B141" s="125"/>
    </row>
    <row r="142" ht="13.5" customHeight="1">
      <c r="A142" s="124"/>
      <c r="B142" s="125"/>
    </row>
    <row r="143" ht="13.5" customHeight="1">
      <c r="A143" s="124"/>
      <c r="B143" s="125"/>
    </row>
    <row r="144" ht="13.5" customHeight="1">
      <c r="A144" s="124"/>
      <c r="B144" s="125"/>
    </row>
    <row r="145" ht="13.5" customHeight="1">
      <c r="A145" s="124"/>
      <c r="B145" s="125"/>
    </row>
    <row r="146" ht="13.5" customHeight="1">
      <c r="A146" s="124"/>
      <c r="B146" s="125"/>
    </row>
    <row r="147" ht="13.5" customHeight="1">
      <c r="A147" s="124"/>
      <c r="B147" s="125"/>
    </row>
    <row r="148" ht="13.5" customHeight="1">
      <c r="A148" s="124"/>
      <c r="B148" s="125"/>
    </row>
    <row r="149" ht="13.5" customHeight="1">
      <c r="A149" s="124"/>
      <c r="B149" s="125"/>
    </row>
    <row r="150" ht="13.5" customHeight="1">
      <c r="A150" s="124"/>
      <c r="B150" s="125"/>
    </row>
    <row r="151" ht="13.5" customHeight="1">
      <c r="A151" s="124"/>
      <c r="B151" s="125"/>
    </row>
    <row r="152" ht="13.5" customHeight="1">
      <c r="A152" s="124"/>
      <c r="B152" s="125"/>
    </row>
    <row r="153" ht="13.5" customHeight="1">
      <c r="A153" s="124"/>
      <c r="B153" s="125"/>
    </row>
    <row r="154" ht="13.5" customHeight="1">
      <c r="A154" s="124"/>
      <c r="B154" s="125"/>
    </row>
    <row r="155" ht="13.5" customHeight="1">
      <c r="A155" s="124"/>
      <c r="B155" s="125"/>
    </row>
    <row r="156" ht="13.5" customHeight="1">
      <c r="A156" s="124"/>
      <c r="B156" s="125"/>
    </row>
    <row r="157" ht="13.5" customHeight="1">
      <c r="A157" s="124"/>
      <c r="B157" s="125"/>
    </row>
    <row r="158" ht="13.5" customHeight="1">
      <c r="A158" s="124"/>
      <c r="B158" s="125"/>
    </row>
    <row r="159" ht="13.5" customHeight="1">
      <c r="A159" s="124"/>
      <c r="B159" s="125"/>
    </row>
    <row r="160" ht="13.5" customHeight="1">
      <c r="A160" s="124"/>
      <c r="B160" s="125"/>
    </row>
    <row r="161" ht="13.5" customHeight="1">
      <c r="A161" s="124"/>
      <c r="B161" s="125"/>
    </row>
    <row r="162" ht="13.5" customHeight="1">
      <c r="A162" s="124"/>
      <c r="B162" s="125"/>
    </row>
    <row r="163" ht="13.5" customHeight="1">
      <c r="A163" s="124"/>
      <c r="B163" s="125"/>
    </row>
    <row r="164" ht="13.5" customHeight="1">
      <c r="A164" s="124"/>
      <c r="B164" s="125"/>
    </row>
    <row r="165" ht="13.5" customHeight="1">
      <c r="A165" s="124"/>
      <c r="B165" s="125"/>
    </row>
    <row r="166" ht="13.5" customHeight="1">
      <c r="A166" s="124"/>
      <c r="B166" s="125"/>
    </row>
    <row r="167" ht="13.5" customHeight="1">
      <c r="A167" s="124"/>
      <c r="B167" s="125"/>
    </row>
    <row r="168" ht="13.5" customHeight="1">
      <c r="A168" s="124"/>
      <c r="B168" s="125"/>
    </row>
    <row r="169" ht="13.5" customHeight="1">
      <c r="A169" s="124"/>
      <c r="B169" s="125"/>
    </row>
    <row r="170" ht="13.5" customHeight="1">
      <c r="A170" s="124"/>
      <c r="B170" s="125"/>
    </row>
    <row r="171" ht="13.5" customHeight="1">
      <c r="A171" s="124"/>
      <c r="B171" s="125"/>
    </row>
    <row r="172" ht="13.5" customHeight="1">
      <c r="A172" s="124"/>
      <c r="B172" s="125"/>
    </row>
    <row r="173" ht="13.5" customHeight="1">
      <c r="A173" s="124"/>
      <c r="B173" s="125"/>
    </row>
    <row r="174" ht="13.5" customHeight="1">
      <c r="A174" s="124"/>
      <c r="B174" s="125"/>
    </row>
    <row r="175" ht="13.5" customHeight="1">
      <c r="A175" s="124"/>
      <c r="B175" s="125"/>
    </row>
    <row r="176" ht="13.5" customHeight="1">
      <c r="A176" s="124"/>
      <c r="B176" s="125"/>
    </row>
    <row r="177" ht="13.5" customHeight="1">
      <c r="A177" s="124"/>
      <c r="B177" s="125"/>
    </row>
    <row r="178" ht="13.5" customHeight="1">
      <c r="A178" s="124"/>
      <c r="B178" s="125"/>
    </row>
    <row r="179" ht="13.5" customHeight="1">
      <c r="A179" s="124"/>
      <c r="B179" s="125"/>
    </row>
    <row r="180" ht="13.5" customHeight="1">
      <c r="A180" s="124"/>
      <c r="B180" s="125"/>
    </row>
    <row r="181" ht="13.5" customHeight="1">
      <c r="A181" s="124"/>
      <c r="B181" s="125"/>
    </row>
    <row r="182" ht="13.5" customHeight="1">
      <c r="A182" s="124"/>
      <c r="B182" s="125"/>
    </row>
    <row r="183" ht="13.5" customHeight="1">
      <c r="A183" s="124"/>
      <c r="B183" s="125"/>
    </row>
    <row r="184" ht="13.5" customHeight="1">
      <c r="A184" s="124"/>
      <c r="B184" s="125"/>
    </row>
    <row r="185" ht="13.5" customHeight="1">
      <c r="A185" s="124"/>
      <c r="B185" s="125"/>
    </row>
    <row r="186" ht="13.5" customHeight="1">
      <c r="A186" s="124"/>
      <c r="B186" s="125"/>
    </row>
    <row r="187" ht="13.5" customHeight="1">
      <c r="A187" s="124"/>
      <c r="B187" s="125"/>
    </row>
    <row r="188" ht="13.5" customHeight="1">
      <c r="A188" s="124"/>
      <c r="B188" s="125"/>
    </row>
    <row r="189" ht="13.5" customHeight="1">
      <c r="A189" s="124"/>
      <c r="B189" s="125"/>
    </row>
    <row r="190" ht="13.5" customHeight="1">
      <c r="A190" s="124"/>
      <c r="B190" s="125"/>
    </row>
    <row r="191" ht="13.5" customHeight="1">
      <c r="A191" s="124"/>
      <c r="B191" s="125"/>
    </row>
    <row r="192" ht="13.5" customHeight="1">
      <c r="A192" s="124"/>
      <c r="B192" s="125"/>
    </row>
    <row r="193" ht="13.5" customHeight="1">
      <c r="A193" s="124"/>
      <c r="B193" s="125"/>
    </row>
    <row r="194" ht="13.5" customHeight="1">
      <c r="A194" s="124"/>
      <c r="B194" s="125"/>
    </row>
    <row r="195" ht="13.5" customHeight="1">
      <c r="A195" s="124"/>
      <c r="B195" s="125"/>
    </row>
    <row r="196" ht="13.5" customHeight="1">
      <c r="A196" s="124"/>
      <c r="B196" s="125"/>
    </row>
    <row r="197" ht="13.5" customHeight="1">
      <c r="A197" s="124"/>
      <c r="B197" s="125"/>
    </row>
    <row r="198" ht="13.5" customHeight="1">
      <c r="A198" s="124"/>
      <c r="B198" s="125"/>
    </row>
    <row r="199" ht="13.5" customHeight="1">
      <c r="A199" s="124"/>
      <c r="B199" s="125"/>
    </row>
    <row r="200" ht="13.5" customHeight="1">
      <c r="A200" s="124"/>
      <c r="B200" s="125"/>
    </row>
    <row r="201" ht="13.5" customHeight="1">
      <c r="A201" s="124"/>
      <c r="B201" s="125"/>
    </row>
    <row r="202" ht="13.5" customHeight="1">
      <c r="A202" s="124"/>
      <c r="B202" s="125"/>
    </row>
    <row r="203" ht="13.5" customHeight="1">
      <c r="A203" s="124"/>
      <c r="B203" s="125"/>
    </row>
    <row r="204" ht="13.5" customHeight="1">
      <c r="A204" s="124"/>
      <c r="B204" s="125"/>
    </row>
    <row r="205" ht="13.5" customHeight="1">
      <c r="A205" s="124"/>
      <c r="B205" s="125"/>
    </row>
    <row r="206" ht="13.5" customHeight="1">
      <c r="A206" s="124"/>
      <c r="B206" s="125"/>
    </row>
    <row r="207" ht="13.5" customHeight="1">
      <c r="A207" s="124"/>
      <c r="B207" s="125"/>
    </row>
    <row r="208" ht="13.5" customHeight="1">
      <c r="A208" s="124"/>
      <c r="B208" s="125"/>
    </row>
    <row r="209" ht="13.5" customHeight="1">
      <c r="A209" s="124"/>
      <c r="B209" s="125"/>
    </row>
    <row r="210" ht="13.5" customHeight="1">
      <c r="A210" s="124"/>
      <c r="B210" s="125"/>
    </row>
    <row r="211" ht="13.5" customHeight="1">
      <c r="A211" s="124"/>
      <c r="B211" s="125"/>
    </row>
    <row r="212" ht="13.5" customHeight="1">
      <c r="A212" s="124"/>
      <c r="B212" s="125"/>
    </row>
    <row r="213" ht="13.5" customHeight="1">
      <c r="A213" s="124"/>
      <c r="B213" s="125"/>
    </row>
    <row r="214" ht="13.5" customHeight="1">
      <c r="A214" s="124"/>
      <c r="B214" s="125"/>
    </row>
    <row r="215" ht="13.5" customHeight="1">
      <c r="A215" s="124"/>
      <c r="B215" s="125"/>
    </row>
    <row r="216" ht="13.5" customHeight="1">
      <c r="A216" s="124"/>
      <c r="B216" s="125"/>
    </row>
    <row r="217" ht="13.5" customHeight="1">
      <c r="A217" s="124"/>
      <c r="B217" s="125"/>
    </row>
    <row r="218" ht="13.5" customHeight="1">
      <c r="A218" s="124"/>
      <c r="B218" s="125"/>
    </row>
    <row r="219" ht="13.5" customHeight="1">
      <c r="A219" s="124"/>
      <c r="B219" s="125"/>
    </row>
    <row r="220" ht="13.5" customHeight="1">
      <c r="A220" s="124"/>
      <c r="B220" s="125"/>
    </row>
    <row r="221" ht="13.5" customHeight="1">
      <c r="A221" s="124"/>
      <c r="B221" s="125"/>
    </row>
    <row r="222" ht="13.5" customHeight="1">
      <c r="A222" s="124"/>
      <c r="B222" s="125"/>
    </row>
    <row r="223" ht="13.5" customHeight="1">
      <c r="A223" s="124"/>
      <c r="B223" s="125"/>
    </row>
    <row r="224" ht="13.5" customHeight="1">
      <c r="A224" s="124"/>
      <c r="B224" s="125"/>
    </row>
    <row r="225" ht="13.5" customHeight="1">
      <c r="A225" s="124"/>
      <c r="B225" s="125"/>
    </row>
    <row r="226" ht="13.5" customHeight="1">
      <c r="A226" s="124"/>
      <c r="B226" s="125"/>
    </row>
    <row r="227" ht="13.5" customHeight="1">
      <c r="A227" s="124"/>
      <c r="B227" s="125"/>
    </row>
    <row r="228" ht="13.5" customHeight="1">
      <c r="A228" s="124"/>
      <c r="B228" s="125"/>
    </row>
    <row r="229" ht="13.5" customHeight="1">
      <c r="A229" s="124"/>
      <c r="B229" s="125"/>
    </row>
    <row r="230" ht="13.5" customHeight="1">
      <c r="A230" s="124"/>
      <c r="B230" s="125"/>
    </row>
    <row r="231" ht="13.5" customHeight="1">
      <c r="A231" s="124"/>
      <c r="B231" s="125"/>
    </row>
    <row r="232" ht="13.5" customHeight="1">
      <c r="A232" s="124"/>
      <c r="B232" s="125"/>
    </row>
    <row r="233" ht="13.5" customHeight="1">
      <c r="A233" s="124"/>
      <c r="B233" s="125"/>
    </row>
    <row r="234" ht="13.5" customHeight="1">
      <c r="A234" s="124"/>
      <c r="B234" s="125"/>
    </row>
    <row r="235" ht="13.5" customHeight="1">
      <c r="A235" s="124"/>
      <c r="B235" s="125"/>
    </row>
    <row r="236" ht="13.5" customHeight="1">
      <c r="A236" s="124"/>
      <c r="B236" s="125"/>
    </row>
    <row r="237" ht="13.5" customHeight="1">
      <c r="A237" s="124"/>
      <c r="B237" s="125"/>
    </row>
    <row r="238" ht="13.5" customHeight="1">
      <c r="A238" s="124"/>
      <c r="B238" s="125"/>
    </row>
    <row r="239" ht="13.5" customHeight="1">
      <c r="A239" s="124"/>
      <c r="B239" s="125"/>
    </row>
    <row r="240" ht="13.5" customHeight="1">
      <c r="A240" s="124"/>
      <c r="B240" s="125"/>
    </row>
    <row r="241" ht="13.5" customHeight="1">
      <c r="A241" s="124"/>
      <c r="B241" s="125"/>
    </row>
    <row r="242" ht="13.5" customHeight="1">
      <c r="A242" s="124"/>
      <c r="B242" s="125"/>
    </row>
    <row r="243" ht="13.5" customHeight="1">
      <c r="A243" s="124"/>
      <c r="B243" s="125"/>
    </row>
    <row r="244" ht="13.5" customHeight="1">
      <c r="A244" s="124"/>
      <c r="B244" s="125"/>
    </row>
    <row r="245" ht="13.5" customHeight="1">
      <c r="A245" s="124"/>
      <c r="B245" s="125"/>
    </row>
    <row r="246" ht="13.5" customHeight="1">
      <c r="A246" s="124"/>
      <c r="B246" s="125"/>
    </row>
    <row r="247" ht="13.5" customHeight="1">
      <c r="A247" s="124"/>
      <c r="B247" s="125"/>
    </row>
    <row r="248" ht="13.5" customHeight="1">
      <c r="A248" s="124"/>
      <c r="B248" s="125"/>
    </row>
    <row r="249" ht="13.5" customHeight="1">
      <c r="A249" s="124"/>
      <c r="B249" s="125"/>
    </row>
    <row r="250" ht="13.5" customHeight="1">
      <c r="A250" s="124"/>
      <c r="B250" s="125"/>
    </row>
    <row r="251" ht="13.5" customHeight="1">
      <c r="A251" s="124"/>
      <c r="B251" s="125"/>
    </row>
    <row r="252" ht="13.5" customHeight="1">
      <c r="A252" s="124"/>
      <c r="B252" s="125"/>
    </row>
    <row r="253" ht="13.5" customHeight="1">
      <c r="A253" s="124"/>
      <c r="B253" s="125"/>
    </row>
    <row r="254" ht="13.5" customHeight="1">
      <c r="A254" s="124"/>
      <c r="B254" s="125"/>
    </row>
    <row r="255" ht="13.5" customHeight="1">
      <c r="A255" s="124"/>
      <c r="B255" s="125"/>
    </row>
    <row r="256" ht="13.5" customHeight="1">
      <c r="A256" s="124"/>
      <c r="B256" s="125"/>
    </row>
    <row r="257" ht="13.5" customHeight="1">
      <c r="A257" s="124"/>
      <c r="B257" s="125"/>
    </row>
    <row r="258" ht="13.5" customHeight="1">
      <c r="A258" s="124"/>
      <c r="B258" s="125"/>
    </row>
    <row r="259" ht="13.5" customHeight="1">
      <c r="A259" s="124"/>
      <c r="B259" s="125"/>
    </row>
    <row r="260" ht="13.5" customHeight="1">
      <c r="A260" s="124"/>
      <c r="B260" s="125"/>
    </row>
    <row r="261" ht="13.5" customHeight="1">
      <c r="A261" s="124"/>
      <c r="B261" s="125"/>
    </row>
    <row r="262" ht="13.5" customHeight="1">
      <c r="A262" s="124"/>
      <c r="B262" s="125"/>
    </row>
    <row r="263" ht="13.5" customHeight="1">
      <c r="A263" s="124"/>
      <c r="B263" s="125"/>
    </row>
    <row r="264" ht="13.5" customHeight="1">
      <c r="A264" s="124"/>
      <c r="B264" s="125"/>
    </row>
    <row r="265" ht="13.5" customHeight="1">
      <c r="A265" s="124"/>
      <c r="B265" s="125"/>
    </row>
    <row r="266" ht="13.5" customHeight="1">
      <c r="A266" s="124"/>
      <c r="B266" s="125"/>
    </row>
    <row r="267" ht="13.5" customHeight="1">
      <c r="A267" s="124"/>
      <c r="B267" s="125"/>
    </row>
    <row r="268" ht="13.5" customHeight="1">
      <c r="A268" s="124"/>
      <c r="B268" s="125"/>
    </row>
    <row r="269" ht="13.5" customHeight="1">
      <c r="A269" s="124"/>
      <c r="B269" s="125"/>
    </row>
    <row r="270" ht="13.5" customHeight="1">
      <c r="A270" s="124"/>
      <c r="B270" s="125"/>
    </row>
    <row r="271" ht="13.5" customHeight="1">
      <c r="A271" s="124"/>
      <c r="B271" s="125"/>
    </row>
    <row r="272" ht="13.5" customHeight="1">
      <c r="A272" s="124"/>
      <c r="B272" s="125"/>
    </row>
    <row r="273" ht="13.5" customHeight="1">
      <c r="A273" s="124"/>
      <c r="B273" s="125"/>
    </row>
    <row r="274" ht="13.5" customHeight="1">
      <c r="A274" s="124"/>
      <c r="B274" s="125"/>
    </row>
    <row r="275" ht="13.5" customHeight="1">
      <c r="A275" s="124"/>
      <c r="B275" s="125"/>
    </row>
    <row r="276" ht="13.5" customHeight="1">
      <c r="A276" s="124"/>
      <c r="B276" s="125"/>
    </row>
    <row r="277" ht="13.5" customHeight="1">
      <c r="A277" s="124"/>
      <c r="B277" s="125"/>
    </row>
    <row r="278" ht="13.5" customHeight="1">
      <c r="A278" s="124"/>
      <c r="B278" s="125"/>
    </row>
    <row r="279" ht="13.5" customHeight="1">
      <c r="A279" s="124"/>
      <c r="B279" s="125"/>
    </row>
    <row r="280" ht="13.5" customHeight="1">
      <c r="A280" s="124"/>
      <c r="B280" s="125"/>
    </row>
    <row r="281" ht="13.5" customHeight="1">
      <c r="A281" s="124"/>
      <c r="B281" s="125"/>
    </row>
    <row r="282" ht="13.5" customHeight="1">
      <c r="A282" s="124"/>
      <c r="B282" s="125"/>
    </row>
    <row r="283" ht="13.5" customHeight="1">
      <c r="A283" s="124"/>
      <c r="B283" s="125"/>
    </row>
    <row r="284" ht="13.5" customHeight="1">
      <c r="A284" s="124"/>
      <c r="B284" s="125"/>
    </row>
    <row r="285" ht="13.5" customHeight="1">
      <c r="A285" s="124"/>
      <c r="B285" s="125"/>
    </row>
    <row r="286" ht="13.5" customHeight="1">
      <c r="A286" s="124"/>
      <c r="B286" s="125"/>
    </row>
    <row r="287" ht="13.5" customHeight="1">
      <c r="A287" s="124"/>
      <c r="B287" s="125"/>
    </row>
    <row r="288" ht="13.5" customHeight="1">
      <c r="A288" s="124"/>
      <c r="B288" s="125"/>
    </row>
    <row r="289" ht="13.5" customHeight="1">
      <c r="A289" s="124"/>
      <c r="B289" s="125"/>
    </row>
    <row r="290" ht="13.5" customHeight="1">
      <c r="A290" s="124"/>
      <c r="B290" s="125"/>
    </row>
    <row r="291" ht="13.5" customHeight="1">
      <c r="A291" s="124"/>
      <c r="B291" s="125"/>
    </row>
    <row r="292" ht="13.5" customHeight="1">
      <c r="A292" s="124"/>
      <c r="B292" s="125"/>
    </row>
    <row r="293" ht="13.5" customHeight="1">
      <c r="A293" s="124"/>
      <c r="B293" s="125"/>
    </row>
    <row r="294" ht="13.5" customHeight="1">
      <c r="A294" s="124"/>
      <c r="B294" s="125"/>
    </row>
    <row r="295" ht="13.5" customHeight="1">
      <c r="A295" s="124"/>
      <c r="B295" s="125"/>
    </row>
    <row r="296" ht="13.5" customHeight="1">
      <c r="A296" s="124"/>
      <c r="B296" s="125"/>
    </row>
    <row r="297" ht="13.5" customHeight="1">
      <c r="A297" s="124"/>
      <c r="B297" s="125"/>
    </row>
    <row r="298" ht="13.5" customHeight="1">
      <c r="A298" s="124"/>
      <c r="B298" s="125"/>
    </row>
    <row r="299" ht="13.5" customHeight="1">
      <c r="A299" s="124"/>
      <c r="B299" s="125"/>
    </row>
    <row r="300" ht="13.5" customHeight="1">
      <c r="A300" s="124"/>
      <c r="B300" s="125"/>
    </row>
    <row r="301" ht="13.5" customHeight="1">
      <c r="A301" s="124"/>
      <c r="B301" s="125"/>
    </row>
    <row r="302" ht="13.5" customHeight="1">
      <c r="A302" s="124"/>
      <c r="B302" s="125"/>
    </row>
    <row r="303" ht="13.5" customHeight="1">
      <c r="A303" s="124"/>
      <c r="B303" s="125"/>
    </row>
    <row r="304" ht="13.5" customHeight="1">
      <c r="A304" s="124"/>
      <c r="B304" s="125"/>
    </row>
    <row r="305" ht="13.5" customHeight="1">
      <c r="A305" s="124"/>
      <c r="B305" s="125"/>
    </row>
    <row r="306" ht="13.5" customHeight="1">
      <c r="A306" s="124"/>
      <c r="B306" s="125"/>
    </row>
    <row r="307" ht="13.5" customHeight="1">
      <c r="A307" s="124"/>
      <c r="B307" s="125"/>
    </row>
    <row r="308" ht="13.5" customHeight="1">
      <c r="A308" s="124"/>
      <c r="B308" s="125"/>
    </row>
    <row r="309" ht="13.5" customHeight="1">
      <c r="A309" s="124"/>
      <c r="B309" s="125"/>
    </row>
    <row r="310" ht="13.5" customHeight="1">
      <c r="A310" s="124"/>
      <c r="B310" s="125"/>
    </row>
    <row r="311" ht="13.5" customHeight="1">
      <c r="A311" s="124"/>
      <c r="B311" s="125"/>
    </row>
    <row r="312" ht="13.5" customHeight="1">
      <c r="A312" s="124"/>
      <c r="B312" s="125"/>
    </row>
    <row r="313" ht="13.5" customHeight="1">
      <c r="A313" s="124"/>
      <c r="B313" s="125"/>
    </row>
    <row r="314" ht="13.5" customHeight="1">
      <c r="A314" s="124"/>
      <c r="B314" s="125"/>
    </row>
    <row r="315" ht="13.5" customHeight="1">
      <c r="A315" s="124"/>
      <c r="B315" s="125"/>
    </row>
    <row r="316" ht="13.5" customHeight="1">
      <c r="A316" s="124"/>
      <c r="B316" s="125"/>
    </row>
    <row r="317" ht="13.5" customHeight="1">
      <c r="A317" s="124"/>
      <c r="B317" s="125"/>
    </row>
    <row r="318" ht="13.5" customHeight="1">
      <c r="A318" s="124"/>
      <c r="B318" s="125"/>
    </row>
    <row r="319" ht="13.5" customHeight="1">
      <c r="A319" s="124"/>
      <c r="B319" s="125"/>
    </row>
    <row r="320" ht="13.5" customHeight="1">
      <c r="A320" s="124"/>
      <c r="B320" s="125"/>
    </row>
    <row r="321" ht="13.5" customHeight="1">
      <c r="A321" s="124"/>
      <c r="B321" s="125"/>
    </row>
    <row r="322" ht="13.5" customHeight="1">
      <c r="A322" s="124"/>
      <c r="B322" s="125"/>
    </row>
    <row r="323" ht="13.5" customHeight="1">
      <c r="A323" s="124"/>
      <c r="B323" s="125"/>
    </row>
    <row r="324" ht="13.5" customHeight="1">
      <c r="A324" s="124"/>
      <c r="B324" s="125"/>
    </row>
    <row r="325" ht="13.5" customHeight="1">
      <c r="A325" s="124"/>
      <c r="B325" s="125"/>
    </row>
    <row r="326" ht="13.5" customHeight="1">
      <c r="A326" s="124"/>
      <c r="B326" s="125"/>
    </row>
    <row r="327" ht="13.5" customHeight="1">
      <c r="A327" s="124"/>
      <c r="B327" s="125"/>
    </row>
    <row r="328" ht="13.5" customHeight="1">
      <c r="A328" s="124"/>
      <c r="B328" s="125"/>
    </row>
    <row r="329" ht="13.5" customHeight="1">
      <c r="A329" s="124"/>
      <c r="B329" s="125"/>
    </row>
    <row r="330" ht="13.5" customHeight="1">
      <c r="A330" s="124"/>
      <c r="B330" s="125"/>
    </row>
    <row r="331" ht="13.5" customHeight="1">
      <c r="A331" s="124"/>
      <c r="B331" s="125"/>
    </row>
    <row r="332" ht="13.5" customHeight="1">
      <c r="A332" s="124"/>
      <c r="B332" s="125"/>
    </row>
    <row r="333" ht="13.5" customHeight="1">
      <c r="A333" s="124"/>
      <c r="B333" s="125"/>
    </row>
    <row r="334" ht="13.5" customHeight="1">
      <c r="A334" s="124"/>
      <c r="B334" s="125"/>
    </row>
    <row r="335" ht="13.5" customHeight="1">
      <c r="A335" s="124"/>
      <c r="B335" s="125"/>
    </row>
    <row r="336" ht="13.5" customHeight="1">
      <c r="A336" s="124"/>
      <c r="B336" s="125"/>
    </row>
    <row r="337" ht="13.5" customHeight="1">
      <c r="A337" s="124"/>
      <c r="B337" s="125"/>
    </row>
    <row r="338" ht="13.5" customHeight="1">
      <c r="A338" s="124"/>
      <c r="B338" s="125"/>
    </row>
    <row r="339" ht="13.5" customHeight="1">
      <c r="A339" s="124"/>
      <c r="B339" s="125"/>
    </row>
    <row r="340" ht="13.5" customHeight="1">
      <c r="A340" s="124"/>
      <c r="B340" s="125"/>
    </row>
    <row r="341" ht="13.5" customHeight="1">
      <c r="A341" s="124"/>
      <c r="B341" s="125"/>
    </row>
    <row r="342" ht="13.5" customHeight="1">
      <c r="A342" s="124"/>
      <c r="B342" s="125"/>
    </row>
    <row r="343" ht="13.5" customHeight="1">
      <c r="A343" s="124"/>
      <c r="B343" s="125"/>
    </row>
    <row r="344" ht="13.5" customHeight="1">
      <c r="A344" s="124"/>
      <c r="B344" s="125"/>
    </row>
    <row r="345" ht="13.5" customHeight="1">
      <c r="A345" s="124"/>
      <c r="B345" s="125"/>
    </row>
    <row r="346" ht="13.5" customHeight="1">
      <c r="A346" s="124"/>
      <c r="B346" s="125"/>
    </row>
    <row r="347" ht="13.5" customHeight="1">
      <c r="A347" s="124"/>
      <c r="B347" s="125"/>
    </row>
    <row r="348" ht="13.5" customHeight="1">
      <c r="A348" s="124"/>
      <c r="B348" s="125"/>
    </row>
    <row r="349" ht="13.5" customHeight="1">
      <c r="A349" s="124"/>
      <c r="B349" s="125"/>
    </row>
    <row r="350" ht="13.5" customHeight="1">
      <c r="A350" s="124"/>
      <c r="B350" s="125"/>
    </row>
    <row r="351" ht="13.5" customHeight="1">
      <c r="A351" s="124"/>
      <c r="B351" s="125"/>
    </row>
    <row r="352" ht="13.5" customHeight="1">
      <c r="A352" s="124"/>
      <c r="B352" s="125"/>
    </row>
    <row r="353" ht="13.5" customHeight="1">
      <c r="A353" s="124"/>
      <c r="B353" s="125"/>
    </row>
    <row r="354" ht="13.5" customHeight="1">
      <c r="A354" s="124"/>
      <c r="B354" s="125"/>
    </row>
    <row r="355" ht="13.5" customHeight="1">
      <c r="A355" s="124"/>
      <c r="B355" s="125"/>
    </row>
    <row r="356" ht="13.5" customHeight="1">
      <c r="A356" s="124"/>
      <c r="B356" s="125"/>
    </row>
    <row r="357" ht="13.5" customHeight="1">
      <c r="A357" s="124"/>
      <c r="B357" s="125"/>
    </row>
    <row r="358" ht="13.5" customHeight="1">
      <c r="A358" s="124"/>
      <c r="B358" s="125"/>
    </row>
    <row r="359" ht="13.5" customHeight="1">
      <c r="A359" s="124"/>
      <c r="B359" s="125"/>
    </row>
    <row r="360" ht="13.5" customHeight="1">
      <c r="A360" s="124"/>
      <c r="B360" s="125"/>
    </row>
    <row r="361" ht="13.5" customHeight="1">
      <c r="A361" s="124"/>
      <c r="B361" s="125"/>
    </row>
    <row r="362" ht="13.5" customHeight="1">
      <c r="A362" s="124"/>
      <c r="B362" s="125"/>
    </row>
    <row r="363" ht="13.5" customHeight="1">
      <c r="A363" s="124"/>
      <c r="B363" s="125"/>
    </row>
    <row r="364" ht="13.5" customHeight="1">
      <c r="A364" s="124"/>
      <c r="B364" s="125"/>
    </row>
    <row r="365" ht="13.5" customHeight="1">
      <c r="A365" s="124"/>
      <c r="B365" s="125"/>
    </row>
    <row r="366" ht="13.5" customHeight="1">
      <c r="A366" s="124"/>
      <c r="B366" s="125"/>
    </row>
    <row r="367" ht="13.5" customHeight="1">
      <c r="A367" s="124"/>
      <c r="B367" s="125"/>
    </row>
    <row r="368" ht="13.5" customHeight="1">
      <c r="A368" s="124"/>
      <c r="B368" s="125"/>
    </row>
    <row r="369" ht="13.5" customHeight="1">
      <c r="A369" s="124"/>
      <c r="B369" s="125"/>
    </row>
    <row r="370" ht="13.5" customHeight="1">
      <c r="A370" s="124"/>
      <c r="B370" s="125"/>
    </row>
    <row r="371" ht="13.5" customHeight="1">
      <c r="A371" s="124"/>
      <c r="B371" s="125"/>
    </row>
    <row r="372" ht="13.5" customHeight="1">
      <c r="A372" s="124"/>
      <c r="B372" s="125"/>
    </row>
    <row r="373" ht="13.5" customHeight="1">
      <c r="A373" s="124"/>
      <c r="B373" s="125"/>
    </row>
    <row r="374" ht="13.5" customHeight="1">
      <c r="A374" s="124"/>
      <c r="B374" s="125"/>
    </row>
    <row r="375" ht="13.5" customHeight="1">
      <c r="A375" s="124"/>
      <c r="B375" s="125"/>
    </row>
    <row r="376" ht="13.5" customHeight="1">
      <c r="A376" s="124"/>
      <c r="B376" s="125"/>
    </row>
    <row r="377" ht="13.5" customHeight="1">
      <c r="A377" s="124"/>
      <c r="B377" s="125"/>
    </row>
    <row r="378" ht="13.5" customHeight="1">
      <c r="A378" s="124"/>
      <c r="B378" s="125"/>
    </row>
    <row r="379" ht="13.5" customHeight="1">
      <c r="A379" s="124"/>
      <c r="B379" s="125"/>
    </row>
    <row r="380" ht="13.5" customHeight="1">
      <c r="A380" s="124"/>
      <c r="B380" s="125"/>
    </row>
    <row r="381" ht="13.5" customHeight="1">
      <c r="A381" s="124"/>
      <c r="B381" s="125"/>
    </row>
    <row r="382" ht="13.5" customHeight="1">
      <c r="A382" s="124"/>
      <c r="B382" s="125"/>
    </row>
    <row r="383" ht="13.5" customHeight="1">
      <c r="A383" s="124"/>
      <c r="B383" s="125"/>
    </row>
    <row r="384" ht="13.5" customHeight="1">
      <c r="A384" s="124"/>
      <c r="B384" s="125"/>
    </row>
    <row r="385" ht="13.5" customHeight="1">
      <c r="A385" s="124"/>
      <c r="B385" s="125"/>
    </row>
    <row r="386" ht="13.5" customHeight="1">
      <c r="A386" s="124"/>
      <c r="B386" s="125"/>
    </row>
    <row r="387" ht="13.5" customHeight="1">
      <c r="A387" s="124"/>
      <c r="B387" s="125"/>
    </row>
    <row r="388" ht="13.5" customHeight="1">
      <c r="A388" s="124"/>
      <c r="B388" s="125"/>
    </row>
    <row r="389" ht="13.5" customHeight="1">
      <c r="A389" s="124"/>
      <c r="B389" s="125"/>
    </row>
    <row r="390" ht="13.5" customHeight="1">
      <c r="A390" s="124"/>
      <c r="B390" s="125"/>
    </row>
    <row r="391" ht="13.5" customHeight="1">
      <c r="A391" s="124"/>
      <c r="B391" s="125"/>
    </row>
    <row r="392" ht="13.5" customHeight="1">
      <c r="A392" s="124"/>
      <c r="B392" s="125"/>
    </row>
    <row r="393" ht="13.5" customHeight="1">
      <c r="A393" s="124"/>
      <c r="B393" s="125"/>
    </row>
    <row r="394" ht="13.5" customHeight="1">
      <c r="A394" s="124"/>
      <c r="B394" s="125"/>
    </row>
    <row r="395" ht="13.5" customHeight="1">
      <c r="A395" s="124"/>
      <c r="B395" s="125"/>
    </row>
    <row r="396" ht="13.5" customHeight="1">
      <c r="A396" s="124"/>
      <c r="B396" s="125"/>
    </row>
    <row r="397" ht="13.5" customHeight="1">
      <c r="A397" s="124"/>
      <c r="B397" s="125"/>
    </row>
    <row r="398" ht="13.5" customHeight="1">
      <c r="A398" s="124"/>
      <c r="B398" s="125"/>
    </row>
    <row r="399" ht="13.5" customHeight="1">
      <c r="A399" s="124"/>
      <c r="B399" s="125"/>
    </row>
    <row r="400" ht="13.5" customHeight="1">
      <c r="A400" s="124"/>
      <c r="B400" s="125"/>
    </row>
    <row r="401" ht="13.5" customHeight="1">
      <c r="A401" s="124"/>
      <c r="B401" s="125"/>
    </row>
    <row r="402" ht="13.5" customHeight="1">
      <c r="A402" s="124"/>
      <c r="B402" s="125"/>
    </row>
    <row r="403" ht="13.5" customHeight="1">
      <c r="A403" s="124"/>
      <c r="B403" s="125"/>
    </row>
    <row r="404" ht="13.5" customHeight="1">
      <c r="A404" s="124"/>
      <c r="B404" s="125"/>
    </row>
    <row r="405" ht="13.5" customHeight="1">
      <c r="A405" s="124"/>
      <c r="B405" s="125"/>
    </row>
    <row r="406" ht="13.5" customHeight="1">
      <c r="A406" s="124"/>
      <c r="B406" s="125"/>
    </row>
    <row r="407" ht="13.5" customHeight="1">
      <c r="A407" s="124"/>
      <c r="B407" s="125"/>
    </row>
    <row r="408" ht="13.5" customHeight="1">
      <c r="A408" s="124"/>
      <c r="B408" s="125"/>
    </row>
    <row r="409" ht="13.5" customHeight="1">
      <c r="A409" s="124"/>
      <c r="B409" s="125"/>
    </row>
    <row r="410" ht="13.5" customHeight="1">
      <c r="A410" s="124"/>
      <c r="B410" s="125"/>
    </row>
    <row r="411" ht="13.5" customHeight="1">
      <c r="A411" s="124"/>
      <c r="B411" s="125"/>
    </row>
    <row r="412" ht="13.5" customHeight="1">
      <c r="A412" s="124"/>
      <c r="B412" s="125"/>
    </row>
    <row r="413" ht="13.5" customHeight="1">
      <c r="A413" s="124"/>
      <c r="B413" s="125"/>
    </row>
    <row r="414" ht="13.5" customHeight="1">
      <c r="A414" s="124"/>
      <c r="B414" s="125"/>
    </row>
    <row r="415" ht="13.5" customHeight="1">
      <c r="A415" s="124"/>
      <c r="B415" s="125"/>
    </row>
    <row r="416" ht="13.5" customHeight="1">
      <c r="A416" s="124"/>
      <c r="B416" s="125"/>
    </row>
    <row r="417" ht="13.5" customHeight="1">
      <c r="A417" s="124"/>
      <c r="B417" s="125"/>
    </row>
    <row r="418" ht="13.5" customHeight="1">
      <c r="A418" s="124"/>
      <c r="B418" s="125"/>
    </row>
    <row r="419" ht="13.5" customHeight="1">
      <c r="A419" s="124"/>
      <c r="B419" s="125"/>
    </row>
    <row r="420" ht="13.5" customHeight="1">
      <c r="A420" s="124"/>
      <c r="B420" s="125"/>
    </row>
    <row r="421" ht="13.5" customHeight="1">
      <c r="A421" s="124"/>
      <c r="B421" s="125"/>
    </row>
    <row r="422" ht="13.5" customHeight="1">
      <c r="A422" s="124"/>
      <c r="B422" s="125"/>
    </row>
    <row r="423" ht="13.5" customHeight="1">
      <c r="A423" s="124"/>
      <c r="B423" s="125"/>
    </row>
    <row r="424" ht="13.5" customHeight="1">
      <c r="A424" s="124"/>
      <c r="B424" s="125"/>
    </row>
    <row r="425" ht="13.5" customHeight="1">
      <c r="A425" s="124"/>
      <c r="B425" s="125"/>
    </row>
    <row r="426" ht="13.5" customHeight="1">
      <c r="A426" s="124"/>
      <c r="B426" s="125"/>
    </row>
    <row r="427" ht="13.5" customHeight="1">
      <c r="A427" s="124"/>
      <c r="B427" s="125"/>
    </row>
    <row r="428" ht="13.5" customHeight="1">
      <c r="A428" s="124"/>
      <c r="B428" s="125"/>
    </row>
    <row r="429" ht="13.5" customHeight="1">
      <c r="A429" s="124"/>
      <c r="B429" s="125"/>
    </row>
    <row r="430" ht="13.5" customHeight="1">
      <c r="A430" s="124"/>
      <c r="B430" s="125"/>
    </row>
    <row r="431" ht="13.5" customHeight="1">
      <c r="A431" s="124"/>
      <c r="B431" s="125"/>
    </row>
    <row r="432" ht="13.5" customHeight="1">
      <c r="A432" s="124"/>
      <c r="B432" s="125"/>
    </row>
    <row r="433" ht="13.5" customHeight="1">
      <c r="A433" s="124"/>
      <c r="B433" s="125"/>
    </row>
    <row r="434" ht="13.5" customHeight="1">
      <c r="A434" s="124"/>
      <c r="B434" s="125"/>
    </row>
    <row r="435" ht="13.5" customHeight="1">
      <c r="A435" s="124"/>
      <c r="B435" s="125"/>
    </row>
    <row r="436" ht="13.5" customHeight="1">
      <c r="A436" s="124"/>
      <c r="B436" s="125"/>
    </row>
    <row r="437" ht="13.5" customHeight="1">
      <c r="A437" s="124"/>
      <c r="B437" s="125"/>
    </row>
    <row r="438" ht="13.5" customHeight="1">
      <c r="A438" s="124"/>
      <c r="B438" s="125"/>
    </row>
    <row r="439" ht="13.5" customHeight="1">
      <c r="A439" s="124"/>
      <c r="B439" s="125"/>
    </row>
    <row r="440" ht="13.5" customHeight="1">
      <c r="A440" s="124"/>
      <c r="B440" s="125"/>
    </row>
    <row r="441" ht="13.5" customHeight="1">
      <c r="A441" s="124"/>
      <c r="B441" s="125"/>
    </row>
    <row r="442" ht="13.5" customHeight="1">
      <c r="A442" s="124"/>
      <c r="B442" s="125"/>
    </row>
    <row r="443" ht="13.5" customHeight="1">
      <c r="A443" s="124"/>
      <c r="B443" s="125"/>
    </row>
    <row r="444" ht="13.5" customHeight="1">
      <c r="A444" s="124"/>
      <c r="B444" s="125"/>
    </row>
    <row r="445" ht="13.5" customHeight="1">
      <c r="A445" s="124"/>
      <c r="B445" s="125"/>
    </row>
    <row r="446" ht="13.5" customHeight="1">
      <c r="A446" s="124"/>
      <c r="B446" s="125"/>
    </row>
    <row r="447" ht="13.5" customHeight="1">
      <c r="A447" s="124"/>
      <c r="B447" s="125"/>
    </row>
    <row r="448" ht="13.5" customHeight="1">
      <c r="A448" s="124"/>
      <c r="B448" s="125"/>
    </row>
    <row r="449" ht="13.5" customHeight="1">
      <c r="A449" s="124"/>
      <c r="B449" s="125"/>
    </row>
    <row r="450" ht="13.5" customHeight="1">
      <c r="A450" s="124"/>
      <c r="B450" s="125"/>
    </row>
    <row r="451" ht="13.5" customHeight="1">
      <c r="A451" s="124"/>
      <c r="B451" s="125"/>
    </row>
    <row r="452" ht="13.5" customHeight="1">
      <c r="A452" s="124"/>
      <c r="B452" s="125"/>
    </row>
    <row r="453" ht="13.5" customHeight="1">
      <c r="A453" s="124"/>
      <c r="B453" s="125"/>
    </row>
    <row r="454" ht="13.5" customHeight="1">
      <c r="A454" s="124"/>
      <c r="B454" s="125"/>
    </row>
    <row r="455" ht="13.5" customHeight="1">
      <c r="A455" s="124"/>
      <c r="B455" s="125"/>
    </row>
    <row r="456" ht="13.5" customHeight="1">
      <c r="A456" s="124"/>
      <c r="B456" s="125"/>
    </row>
    <row r="457" ht="13.5" customHeight="1">
      <c r="A457" s="124"/>
      <c r="B457" s="125"/>
    </row>
    <row r="458" ht="13.5" customHeight="1">
      <c r="A458" s="124"/>
      <c r="B458" s="125"/>
    </row>
    <row r="459" ht="13.5" customHeight="1">
      <c r="A459" s="124"/>
      <c r="B459" s="125"/>
    </row>
    <row r="460" ht="13.5" customHeight="1">
      <c r="A460" s="124"/>
      <c r="B460" s="125"/>
    </row>
    <row r="461" ht="13.5" customHeight="1">
      <c r="A461" s="124"/>
      <c r="B461" s="125"/>
    </row>
    <row r="462" ht="13.5" customHeight="1">
      <c r="A462" s="124"/>
      <c r="B462" s="125"/>
    </row>
    <row r="463" ht="13.5" customHeight="1">
      <c r="A463" s="124"/>
      <c r="B463" s="125"/>
    </row>
    <row r="464" ht="13.5" customHeight="1">
      <c r="A464" s="124"/>
      <c r="B464" s="125"/>
    </row>
    <row r="465" ht="13.5" customHeight="1">
      <c r="A465" s="124"/>
      <c r="B465" s="125"/>
    </row>
    <row r="466" ht="13.5" customHeight="1">
      <c r="A466" s="124"/>
      <c r="B466" s="125"/>
    </row>
    <row r="467" ht="13.5" customHeight="1">
      <c r="A467" s="124"/>
      <c r="B467" s="125"/>
    </row>
    <row r="468" ht="13.5" customHeight="1">
      <c r="A468" s="124"/>
      <c r="B468" s="125"/>
    </row>
    <row r="469" ht="13.5" customHeight="1">
      <c r="A469" s="124"/>
      <c r="B469" s="125"/>
    </row>
    <row r="470" ht="13.5" customHeight="1">
      <c r="A470" s="124"/>
      <c r="B470" s="125"/>
    </row>
    <row r="471" ht="13.5" customHeight="1">
      <c r="A471" s="124"/>
      <c r="B471" s="125"/>
    </row>
    <row r="472" ht="13.5" customHeight="1">
      <c r="A472" s="124"/>
      <c r="B472" s="125"/>
    </row>
    <row r="473" ht="13.5" customHeight="1">
      <c r="A473" s="124"/>
      <c r="B473" s="125"/>
    </row>
    <row r="474" ht="13.5" customHeight="1">
      <c r="A474" s="124"/>
      <c r="B474" s="125"/>
    </row>
    <row r="475" ht="13.5" customHeight="1">
      <c r="A475" s="124"/>
      <c r="B475" s="125"/>
    </row>
    <row r="476" ht="13.5" customHeight="1">
      <c r="A476" s="124"/>
      <c r="B476" s="125"/>
    </row>
    <row r="477" ht="13.5" customHeight="1">
      <c r="A477" s="124"/>
      <c r="B477" s="125"/>
    </row>
    <row r="478" ht="13.5" customHeight="1">
      <c r="A478" s="124"/>
      <c r="B478" s="125"/>
    </row>
    <row r="479" ht="13.5" customHeight="1">
      <c r="A479" s="124"/>
      <c r="B479" s="125"/>
    </row>
    <row r="480" ht="13.5" customHeight="1">
      <c r="A480" s="124"/>
      <c r="B480" s="125"/>
    </row>
    <row r="481" ht="13.5" customHeight="1">
      <c r="A481" s="124"/>
      <c r="B481" s="125"/>
    </row>
    <row r="482" ht="13.5" customHeight="1">
      <c r="A482" s="124"/>
      <c r="B482" s="125"/>
    </row>
    <row r="483" ht="13.5" customHeight="1">
      <c r="A483" s="124"/>
      <c r="B483" s="125"/>
    </row>
    <row r="484" ht="13.5" customHeight="1">
      <c r="A484" s="124"/>
      <c r="B484" s="125"/>
    </row>
    <row r="485" ht="13.5" customHeight="1">
      <c r="A485" s="124"/>
      <c r="B485" s="125"/>
    </row>
    <row r="486" ht="13.5" customHeight="1">
      <c r="A486" s="124"/>
      <c r="B486" s="125"/>
    </row>
    <row r="487" ht="13.5" customHeight="1">
      <c r="A487" s="124"/>
      <c r="B487" s="125"/>
    </row>
    <row r="488" ht="13.5" customHeight="1">
      <c r="A488" s="124"/>
      <c r="B488" s="125"/>
    </row>
    <row r="489" ht="13.5" customHeight="1">
      <c r="A489" s="124"/>
      <c r="B489" s="125"/>
    </row>
    <row r="490" ht="13.5" customHeight="1">
      <c r="A490" s="124"/>
      <c r="B490" s="125"/>
    </row>
    <row r="491" ht="13.5" customHeight="1">
      <c r="A491" s="124"/>
      <c r="B491" s="125"/>
    </row>
    <row r="492" ht="13.5" customHeight="1">
      <c r="A492" s="124"/>
      <c r="B492" s="125"/>
    </row>
    <row r="493" ht="13.5" customHeight="1">
      <c r="A493" s="124"/>
      <c r="B493" s="125"/>
    </row>
    <row r="494" ht="13.5" customHeight="1">
      <c r="A494" s="124"/>
      <c r="B494" s="125"/>
    </row>
    <row r="495" ht="13.5" customHeight="1">
      <c r="A495" s="124"/>
      <c r="B495" s="125"/>
    </row>
    <row r="496" ht="13.5" customHeight="1">
      <c r="A496" s="124"/>
      <c r="B496" s="125"/>
    </row>
    <row r="497" ht="13.5" customHeight="1">
      <c r="A497" s="124"/>
      <c r="B497" s="125"/>
    </row>
    <row r="498" ht="13.5" customHeight="1">
      <c r="A498" s="124"/>
      <c r="B498" s="125"/>
    </row>
    <row r="499" ht="13.5" customHeight="1">
      <c r="A499" s="124"/>
      <c r="B499" s="125"/>
    </row>
    <row r="500" ht="13.5" customHeight="1">
      <c r="A500" s="124"/>
      <c r="B500" s="125"/>
    </row>
    <row r="501" ht="13.5" customHeight="1">
      <c r="A501" s="124"/>
      <c r="B501" s="125"/>
    </row>
    <row r="502" ht="13.5" customHeight="1">
      <c r="A502" s="124"/>
      <c r="B502" s="125"/>
    </row>
    <row r="503" ht="13.5" customHeight="1">
      <c r="A503" s="124"/>
      <c r="B503" s="125"/>
    </row>
    <row r="504" ht="13.5" customHeight="1">
      <c r="A504" s="124"/>
      <c r="B504" s="125"/>
    </row>
    <row r="505" ht="13.5" customHeight="1">
      <c r="A505" s="124"/>
      <c r="B505" s="125"/>
    </row>
    <row r="506" ht="13.5" customHeight="1">
      <c r="A506" s="124"/>
      <c r="B506" s="125"/>
    </row>
    <row r="507" ht="13.5" customHeight="1">
      <c r="A507" s="124"/>
      <c r="B507" s="125"/>
    </row>
    <row r="508" ht="13.5" customHeight="1">
      <c r="A508" s="124"/>
      <c r="B508" s="125"/>
    </row>
    <row r="509" ht="13.5" customHeight="1">
      <c r="A509" s="124"/>
      <c r="B509" s="125"/>
    </row>
    <row r="510" ht="13.5" customHeight="1">
      <c r="A510" s="124"/>
      <c r="B510" s="125"/>
    </row>
    <row r="511" ht="13.5" customHeight="1">
      <c r="A511" s="124"/>
      <c r="B511" s="125"/>
    </row>
    <row r="512" ht="13.5" customHeight="1">
      <c r="A512" s="124"/>
      <c r="B512" s="125"/>
    </row>
    <row r="513" ht="13.5" customHeight="1">
      <c r="A513" s="124"/>
      <c r="B513" s="125"/>
    </row>
    <row r="514" ht="13.5" customHeight="1">
      <c r="A514" s="124"/>
      <c r="B514" s="125"/>
    </row>
    <row r="515" ht="13.5" customHeight="1">
      <c r="A515" s="124"/>
      <c r="B515" s="125"/>
    </row>
    <row r="516" ht="13.5" customHeight="1">
      <c r="A516" s="124"/>
      <c r="B516" s="125"/>
    </row>
    <row r="517" ht="13.5" customHeight="1">
      <c r="A517" s="124"/>
      <c r="B517" s="125"/>
    </row>
    <row r="518" ht="13.5" customHeight="1">
      <c r="A518" s="124"/>
      <c r="B518" s="125"/>
    </row>
    <row r="519" ht="13.5" customHeight="1">
      <c r="A519" s="124"/>
      <c r="B519" s="125"/>
    </row>
    <row r="520" ht="13.5" customHeight="1">
      <c r="A520" s="124"/>
      <c r="B520" s="125"/>
    </row>
    <row r="521" ht="13.5" customHeight="1">
      <c r="A521" s="124"/>
      <c r="B521" s="125"/>
    </row>
    <row r="522" ht="13.5" customHeight="1">
      <c r="A522" s="124"/>
      <c r="B522" s="125"/>
    </row>
    <row r="523" ht="13.5" customHeight="1">
      <c r="A523" s="124"/>
      <c r="B523" s="125"/>
    </row>
    <row r="524" ht="13.5" customHeight="1">
      <c r="A524" s="124"/>
      <c r="B524" s="125"/>
    </row>
    <row r="525" ht="13.5" customHeight="1">
      <c r="A525" s="124"/>
      <c r="B525" s="125"/>
    </row>
    <row r="526" ht="13.5" customHeight="1">
      <c r="A526" s="124"/>
      <c r="B526" s="125"/>
    </row>
    <row r="527" ht="13.5" customHeight="1">
      <c r="A527" s="124"/>
      <c r="B527" s="125"/>
    </row>
    <row r="528" ht="13.5" customHeight="1">
      <c r="A528" s="124"/>
      <c r="B528" s="125"/>
    </row>
    <row r="529" ht="13.5" customHeight="1">
      <c r="A529" s="124"/>
      <c r="B529" s="125"/>
    </row>
    <row r="530" ht="13.5" customHeight="1">
      <c r="A530" s="124"/>
      <c r="B530" s="125"/>
    </row>
    <row r="531" ht="13.5" customHeight="1">
      <c r="A531" s="124"/>
      <c r="B531" s="125"/>
    </row>
    <row r="532" ht="13.5" customHeight="1">
      <c r="A532" s="124"/>
      <c r="B532" s="125"/>
    </row>
    <row r="533" ht="13.5" customHeight="1">
      <c r="A533" s="124"/>
      <c r="B533" s="125"/>
    </row>
    <row r="534" ht="13.5" customHeight="1">
      <c r="A534" s="124"/>
      <c r="B534" s="125"/>
    </row>
    <row r="535" ht="13.5" customHeight="1">
      <c r="A535" s="124"/>
      <c r="B535" s="125"/>
    </row>
    <row r="536" ht="13.5" customHeight="1">
      <c r="A536" s="124"/>
      <c r="B536" s="125"/>
    </row>
    <row r="537" ht="13.5" customHeight="1">
      <c r="A537" s="124"/>
      <c r="B537" s="125"/>
    </row>
    <row r="538" ht="13.5" customHeight="1">
      <c r="A538" s="124"/>
      <c r="B538" s="125"/>
    </row>
    <row r="539" ht="13.5" customHeight="1">
      <c r="A539" s="124"/>
      <c r="B539" s="125"/>
    </row>
    <row r="540" ht="13.5" customHeight="1">
      <c r="A540" s="124"/>
      <c r="B540" s="125"/>
    </row>
    <row r="541" ht="13.5" customHeight="1">
      <c r="A541" s="124"/>
      <c r="B541" s="125"/>
    </row>
    <row r="542" ht="13.5" customHeight="1">
      <c r="A542" s="124"/>
      <c r="B542" s="125"/>
    </row>
    <row r="543" ht="13.5" customHeight="1">
      <c r="A543" s="124"/>
      <c r="B543" s="125"/>
    </row>
    <row r="544" ht="13.5" customHeight="1">
      <c r="A544" s="124"/>
      <c r="B544" s="125"/>
    </row>
    <row r="545" ht="13.5" customHeight="1">
      <c r="A545" s="124"/>
      <c r="B545" s="125"/>
    </row>
    <row r="546" ht="13.5" customHeight="1">
      <c r="A546" s="124"/>
      <c r="B546" s="125"/>
    </row>
    <row r="547" ht="13.5" customHeight="1">
      <c r="A547" s="124"/>
      <c r="B547" s="125"/>
    </row>
    <row r="548" ht="13.5" customHeight="1">
      <c r="A548" s="124"/>
      <c r="B548" s="125"/>
    </row>
    <row r="549" ht="13.5" customHeight="1">
      <c r="A549" s="124"/>
      <c r="B549" s="125"/>
    </row>
    <row r="550" ht="13.5" customHeight="1">
      <c r="A550" s="124"/>
      <c r="B550" s="125"/>
    </row>
    <row r="551" ht="13.5" customHeight="1">
      <c r="A551" s="124"/>
      <c r="B551" s="125"/>
    </row>
    <row r="552" ht="13.5" customHeight="1">
      <c r="A552" s="124"/>
      <c r="B552" s="125"/>
    </row>
    <row r="553" ht="13.5" customHeight="1">
      <c r="A553" s="124"/>
      <c r="B553" s="125"/>
    </row>
    <row r="554" ht="13.5" customHeight="1">
      <c r="A554" s="124"/>
      <c r="B554" s="125"/>
    </row>
    <row r="555" ht="13.5" customHeight="1">
      <c r="A555" s="124"/>
      <c r="B555" s="125"/>
    </row>
    <row r="556" ht="13.5" customHeight="1">
      <c r="A556" s="124"/>
      <c r="B556" s="125"/>
    </row>
    <row r="557" ht="13.5" customHeight="1">
      <c r="A557" s="124"/>
      <c r="B557" s="125"/>
    </row>
    <row r="558" ht="13.5" customHeight="1">
      <c r="A558" s="124"/>
      <c r="B558" s="125"/>
    </row>
    <row r="559" ht="13.5" customHeight="1">
      <c r="A559" s="124"/>
      <c r="B559" s="125"/>
    </row>
    <row r="560" ht="13.5" customHeight="1">
      <c r="A560" s="124"/>
      <c r="B560" s="125"/>
    </row>
    <row r="561" ht="13.5" customHeight="1">
      <c r="A561" s="124"/>
      <c r="B561" s="125"/>
    </row>
    <row r="562" ht="13.5" customHeight="1">
      <c r="A562" s="124"/>
      <c r="B562" s="125"/>
    </row>
    <row r="563" ht="13.5" customHeight="1">
      <c r="A563" s="124"/>
      <c r="B563" s="125"/>
    </row>
    <row r="564" ht="13.5" customHeight="1">
      <c r="A564" s="124"/>
      <c r="B564" s="125"/>
    </row>
    <row r="565" ht="13.5" customHeight="1">
      <c r="A565" s="124"/>
      <c r="B565" s="125"/>
    </row>
    <row r="566" ht="13.5" customHeight="1">
      <c r="A566" s="124"/>
      <c r="B566" s="125"/>
    </row>
    <row r="567" ht="13.5" customHeight="1">
      <c r="A567" s="124"/>
      <c r="B567" s="125"/>
    </row>
    <row r="568" ht="13.5" customHeight="1">
      <c r="A568" s="124"/>
      <c r="B568" s="125"/>
    </row>
    <row r="569" ht="13.5" customHeight="1">
      <c r="A569" s="124"/>
      <c r="B569" s="125"/>
    </row>
    <row r="570" ht="13.5" customHeight="1">
      <c r="A570" s="124"/>
      <c r="B570" s="125"/>
    </row>
    <row r="571" ht="13.5" customHeight="1">
      <c r="A571" s="124"/>
      <c r="B571" s="125"/>
    </row>
    <row r="572" ht="13.5" customHeight="1">
      <c r="A572" s="124"/>
      <c r="B572" s="125"/>
    </row>
    <row r="573" ht="13.5" customHeight="1">
      <c r="A573" s="124"/>
      <c r="B573" s="125"/>
    </row>
    <row r="574" ht="13.5" customHeight="1">
      <c r="A574" s="124"/>
      <c r="B574" s="125"/>
    </row>
    <row r="575" ht="13.5" customHeight="1">
      <c r="A575" s="124"/>
      <c r="B575" s="125"/>
    </row>
    <row r="576" ht="13.5" customHeight="1">
      <c r="A576" s="124"/>
      <c r="B576" s="125"/>
    </row>
    <row r="577" ht="13.5" customHeight="1">
      <c r="A577" s="124"/>
      <c r="B577" s="125"/>
    </row>
    <row r="578" ht="13.5" customHeight="1">
      <c r="A578" s="124"/>
      <c r="B578" s="125"/>
    </row>
    <row r="579" ht="13.5" customHeight="1">
      <c r="A579" s="124"/>
      <c r="B579" s="125"/>
    </row>
    <row r="580" ht="13.5" customHeight="1">
      <c r="A580" s="124"/>
      <c r="B580" s="125"/>
    </row>
    <row r="581" ht="13.5" customHeight="1">
      <c r="A581" s="124"/>
      <c r="B581" s="125"/>
    </row>
    <row r="582" ht="13.5" customHeight="1">
      <c r="A582" s="124"/>
      <c r="B582" s="125"/>
    </row>
    <row r="583" ht="13.5" customHeight="1">
      <c r="A583" s="124"/>
      <c r="B583" s="125"/>
    </row>
    <row r="584" ht="13.5" customHeight="1">
      <c r="A584" s="124"/>
      <c r="B584" s="125"/>
    </row>
    <row r="585" ht="13.5" customHeight="1">
      <c r="A585" s="124"/>
      <c r="B585" s="125"/>
    </row>
    <row r="586" ht="13.5" customHeight="1">
      <c r="A586" s="124"/>
      <c r="B586" s="125"/>
    </row>
    <row r="587" ht="13.5" customHeight="1">
      <c r="A587" s="124"/>
      <c r="B587" s="125"/>
    </row>
    <row r="588" ht="13.5" customHeight="1">
      <c r="A588" s="124"/>
      <c r="B588" s="125"/>
    </row>
    <row r="589" ht="13.5" customHeight="1">
      <c r="A589" s="124"/>
      <c r="B589" s="125"/>
    </row>
    <row r="590" ht="13.5" customHeight="1">
      <c r="A590" s="124"/>
      <c r="B590" s="125"/>
    </row>
    <row r="591" ht="13.5" customHeight="1">
      <c r="A591" s="124"/>
      <c r="B591" s="125"/>
    </row>
    <row r="592" ht="13.5" customHeight="1">
      <c r="A592" s="124"/>
      <c r="B592" s="125"/>
    </row>
    <row r="593" ht="13.5" customHeight="1">
      <c r="A593" s="124"/>
      <c r="B593" s="125"/>
    </row>
    <row r="594" ht="13.5" customHeight="1">
      <c r="A594" s="124"/>
      <c r="B594" s="125"/>
    </row>
    <row r="595" ht="13.5" customHeight="1">
      <c r="A595" s="124"/>
      <c r="B595" s="125"/>
    </row>
    <row r="596" ht="13.5" customHeight="1">
      <c r="A596" s="124"/>
      <c r="B596" s="125"/>
    </row>
    <row r="597" ht="13.5" customHeight="1">
      <c r="A597" s="124"/>
      <c r="B597" s="125"/>
    </row>
    <row r="598" ht="13.5" customHeight="1">
      <c r="A598" s="124"/>
      <c r="B598" s="125"/>
    </row>
    <row r="599" ht="13.5" customHeight="1">
      <c r="A599" s="124"/>
      <c r="B599" s="125"/>
    </row>
    <row r="600" ht="13.5" customHeight="1">
      <c r="A600" s="124"/>
      <c r="B600" s="125"/>
    </row>
    <row r="601" ht="13.5" customHeight="1">
      <c r="A601" s="124"/>
      <c r="B601" s="125"/>
    </row>
    <row r="602" ht="13.5" customHeight="1">
      <c r="A602" s="124"/>
      <c r="B602" s="125"/>
    </row>
    <row r="603" ht="13.5" customHeight="1">
      <c r="A603" s="124"/>
      <c r="B603" s="125"/>
    </row>
    <row r="604" ht="13.5" customHeight="1">
      <c r="A604" s="124"/>
      <c r="B604" s="125"/>
    </row>
    <row r="605" ht="13.5" customHeight="1">
      <c r="A605" s="124"/>
      <c r="B605" s="125"/>
    </row>
    <row r="606" ht="13.5" customHeight="1">
      <c r="A606" s="124"/>
      <c r="B606" s="125"/>
    </row>
    <row r="607" ht="13.5" customHeight="1">
      <c r="A607" s="124"/>
      <c r="B607" s="125"/>
    </row>
    <row r="608" ht="13.5" customHeight="1">
      <c r="A608" s="124"/>
      <c r="B608" s="125"/>
    </row>
    <row r="609" ht="13.5" customHeight="1">
      <c r="A609" s="124"/>
      <c r="B609" s="125"/>
    </row>
    <row r="610" ht="13.5" customHeight="1">
      <c r="A610" s="124"/>
      <c r="B610" s="125"/>
    </row>
    <row r="611" ht="13.5" customHeight="1">
      <c r="A611" s="124"/>
      <c r="B611" s="125"/>
    </row>
    <row r="612" ht="13.5" customHeight="1">
      <c r="A612" s="124"/>
      <c r="B612" s="125"/>
    </row>
    <row r="613" ht="13.5" customHeight="1">
      <c r="A613" s="124"/>
      <c r="B613" s="125"/>
    </row>
    <row r="614" ht="13.5" customHeight="1">
      <c r="A614" s="124"/>
      <c r="B614" s="125"/>
    </row>
    <row r="615" ht="13.5" customHeight="1">
      <c r="A615" s="124"/>
      <c r="B615" s="125"/>
    </row>
    <row r="616" ht="13.5" customHeight="1">
      <c r="A616" s="124"/>
      <c r="B616" s="125"/>
    </row>
    <row r="617" ht="13.5" customHeight="1">
      <c r="A617" s="124"/>
      <c r="B617" s="125"/>
    </row>
    <row r="618" ht="13.5" customHeight="1">
      <c r="A618" s="124"/>
      <c r="B618" s="125"/>
    </row>
    <row r="619" ht="13.5" customHeight="1">
      <c r="A619" s="124"/>
      <c r="B619" s="125"/>
    </row>
    <row r="620" ht="13.5" customHeight="1">
      <c r="A620" s="124"/>
      <c r="B620" s="125"/>
    </row>
    <row r="621" ht="13.5" customHeight="1">
      <c r="A621" s="124"/>
      <c r="B621" s="125"/>
    </row>
    <row r="622" ht="13.5" customHeight="1">
      <c r="A622" s="124"/>
      <c r="B622" s="125"/>
    </row>
    <row r="623" ht="13.5" customHeight="1">
      <c r="A623" s="124"/>
      <c r="B623" s="125"/>
    </row>
    <row r="624" ht="13.5" customHeight="1">
      <c r="A624" s="124"/>
      <c r="B624" s="125"/>
    </row>
    <row r="625" ht="13.5" customHeight="1">
      <c r="A625" s="124"/>
      <c r="B625" s="125"/>
    </row>
    <row r="626" ht="13.5" customHeight="1">
      <c r="A626" s="124"/>
      <c r="B626" s="125"/>
    </row>
    <row r="627" ht="13.5" customHeight="1">
      <c r="A627" s="124"/>
      <c r="B627" s="125"/>
    </row>
    <row r="628" ht="13.5" customHeight="1">
      <c r="A628" s="124"/>
      <c r="B628" s="125"/>
    </row>
    <row r="629" ht="13.5" customHeight="1">
      <c r="A629" s="124"/>
      <c r="B629" s="125"/>
    </row>
    <row r="630" ht="13.5" customHeight="1">
      <c r="A630" s="124"/>
      <c r="B630" s="125"/>
    </row>
    <row r="631" ht="13.5" customHeight="1">
      <c r="A631" s="124"/>
      <c r="B631" s="125"/>
    </row>
    <row r="632" ht="13.5" customHeight="1">
      <c r="A632" s="124"/>
      <c r="B632" s="125"/>
    </row>
    <row r="633" ht="13.5" customHeight="1">
      <c r="A633" s="124"/>
      <c r="B633" s="125"/>
    </row>
    <row r="634" ht="13.5" customHeight="1">
      <c r="A634" s="124"/>
      <c r="B634" s="125"/>
    </row>
    <row r="635" ht="13.5" customHeight="1">
      <c r="A635" s="124"/>
      <c r="B635" s="125"/>
    </row>
    <row r="636" ht="13.5" customHeight="1">
      <c r="A636" s="124"/>
      <c r="B636" s="125"/>
    </row>
    <row r="637" ht="13.5" customHeight="1">
      <c r="A637" s="124"/>
      <c r="B637" s="125"/>
    </row>
    <row r="638" ht="13.5" customHeight="1">
      <c r="A638" s="124"/>
      <c r="B638" s="125"/>
    </row>
    <row r="639" ht="13.5" customHeight="1">
      <c r="A639" s="124"/>
      <c r="B639" s="125"/>
    </row>
    <row r="640" ht="13.5" customHeight="1">
      <c r="A640" s="124"/>
      <c r="B640" s="125"/>
    </row>
    <row r="641" ht="13.5" customHeight="1">
      <c r="A641" s="124"/>
      <c r="B641" s="125"/>
    </row>
    <row r="642" ht="13.5" customHeight="1">
      <c r="A642" s="124"/>
      <c r="B642" s="125"/>
    </row>
    <row r="643" ht="13.5" customHeight="1">
      <c r="A643" s="124"/>
      <c r="B643" s="125"/>
    </row>
    <row r="644" ht="13.5" customHeight="1">
      <c r="A644" s="124"/>
      <c r="B644" s="125"/>
    </row>
    <row r="645" ht="13.5" customHeight="1">
      <c r="A645" s="124"/>
      <c r="B645" s="125"/>
    </row>
    <row r="646" ht="13.5" customHeight="1">
      <c r="A646" s="124"/>
      <c r="B646" s="125"/>
    </row>
    <row r="647" ht="13.5" customHeight="1">
      <c r="A647" s="124"/>
      <c r="B647" s="125"/>
    </row>
    <row r="648" ht="13.5" customHeight="1">
      <c r="A648" s="124"/>
      <c r="B648" s="125"/>
    </row>
    <row r="649" ht="13.5" customHeight="1">
      <c r="A649" s="124"/>
      <c r="B649" s="125"/>
    </row>
    <row r="650" ht="13.5" customHeight="1">
      <c r="A650" s="124"/>
      <c r="B650" s="125"/>
    </row>
    <row r="651" ht="13.5" customHeight="1">
      <c r="A651" s="124"/>
      <c r="B651" s="125"/>
    </row>
    <row r="652" ht="13.5" customHeight="1">
      <c r="A652" s="124"/>
      <c r="B652" s="125"/>
    </row>
    <row r="653" ht="13.5" customHeight="1">
      <c r="A653" s="124"/>
      <c r="B653" s="125"/>
    </row>
    <row r="654" ht="13.5" customHeight="1">
      <c r="A654" s="124"/>
      <c r="B654" s="125"/>
    </row>
    <row r="655" ht="13.5" customHeight="1">
      <c r="A655" s="124"/>
      <c r="B655" s="125"/>
    </row>
    <row r="656" ht="13.5" customHeight="1">
      <c r="A656" s="124"/>
      <c r="B656" s="125"/>
    </row>
    <row r="657" ht="13.5" customHeight="1">
      <c r="A657" s="124"/>
      <c r="B657" s="125"/>
    </row>
    <row r="658" ht="13.5" customHeight="1">
      <c r="A658" s="124"/>
      <c r="B658" s="125"/>
    </row>
    <row r="659" ht="13.5" customHeight="1">
      <c r="A659" s="124"/>
      <c r="B659" s="125"/>
    </row>
    <row r="660" ht="13.5" customHeight="1">
      <c r="A660" s="124"/>
      <c r="B660" s="125"/>
    </row>
    <row r="661" ht="13.5" customHeight="1">
      <c r="A661" s="124"/>
      <c r="B661" s="125"/>
    </row>
    <row r="662" ht="13.5" customHeight="1">
      <c r="A662" s="124"/>
      <c r="B662" s="125"/>
    </row>
    <row r="663" ht="13.5" customHeight="1">
      <c r="A663" s="124"/>
      <c r="B663" s="125"/>
    </row>
    <row r="664" ht="13.5" customHeight="1">
      <c r="A664" s="124"/>
      <c r="B664" s="125"/>
    </row>
    <row r="665" ht="13.5" customHeight="1">
      <c r="A665" s="124"/>
      <c r="B665" s="125"/>
    </row>
    <row r="666" ht="13.5" customHeight="1">
      <c r="A666" s="124"/>
      <c r="B666" s="125"/>
    </row>
    <row r="667" ht="13.5" customHeight="1">
      <c r="A667" s="124"/>
      <c r="B667" s="125"/>
    </row>
    <row r="668" ht="13.5" customHeight="1">
      <c r="A668" s="124"/>
      <c r="B668" s="125"/>
    </row>
    <row r="669" ht="13.5" customHeight="1">
      <c r="A669" s="124"/>
      <c r="B669" s="125"/>
    </row>
    <row r="670" ht="13.5" customHeight="1">
      <c r="A670" s="124"/>
      <c r="B670" s="125"/>
    </row>
    <row r="671" ht="13.5" customHeight="1">
      <c r="A671" s="124"/>
      <c r="B671" s="125"/>
    </row>
    <row r="672" ht="13.5" customHeight="1">
      <c r="A672" s="124"/>
      <c r="B672" s="125"/>
    </row>
    <row r="673" ht="13.5" customHeight="1">
      <c r="A673" s="124"/>
      <c r="B673" s="125"/>
    </row>
    <row r="674" ht="13.5" customHeight="1">
      <c r="A674" s="124"/>
      <c r="B674" s="125"/>
    </row>
    <row r="675" ht="13.5" customHeight="1">
      <c r="A675" s="124"/>
      <c r="B675" s="125"/>
    </row>
    <row r="676" ht="13.5" customHeight="1">
      <c r="A676" s="124"/>
      <c r="B676" s="125"/>
    </row>
    <row r="677" ht="13.5" customHeight="1">
      <c r="A677" s="124"/>
      <c r="B677" s="125"/>
    </row>
    <row r="678" ht="13.5" customHeight="1">
      <c r="A678" s="124"/>
      <c r="B678" s="125"/>
    </row>
    <row r="679" ht="13.5" customHeight="1">
      <c r="A679" s="124"/>
      <c r="B679" s="125"/>
    </row>
    <row r="680" ht="13.5" customHeight="1">
      <c r="A680" s="124"/>
      <c r="B680" s="125"/>
    </row>
    <row r="681" ht="13.5" customHeight="1">
      <c r="A681" s="124"/>
      <c r="B681" s="125"/>
    </row>
    <row r="682" ht="13.5" customHeight="1">
      <c r="A682" s="124"/>
      <c r="B682" s="125"/>
    </row>
    <row r="683" ht="13.5" customHeight="1">
      <c r="A683" s="124"/>
      <c r="B683" s="125"/>
    </row>
    <row r="684" ht="13.5" customHeight="1">
      <c r="A684" s="124"/>
      <c r="B684" s="125"/>
    </row>
    <row r="685" ht="13.5" customHeight="1">
      <c r="A685" s="124"/>
      <c r="B685" s="125"/>
    </row>
    <row r="686" ht="13.5" customHeight="1">
      <c r="A686" s="124"/>
      <c r="B686" s="125"/>
    </row>
    <row r="687" ht="13.5" customHeight="1">
      <c r="A687" s="124"/>
      <c r="B687" s="125"/>
    </row>
    <row r="688" ht="13.5" customHeight="1">
      <c r="A688" s="124"/>
      <c r="B688" s="125"/>
    </row>
    <row r="689" ht="13.5" customHeight="1">
      <c r="A689" s="124"/>
      <c r="B689" s="125"/>
    </row>
    <row r="690" ht="13.5" customHeight="1">
      <c r="A690" s="124"/>
      <c r="B690" s="125"/>
    </row>
    <row r="691" ht="13.5" customHeight="1">
      <c r="A691" s="124"/>
      <c r="B691" s="125"/>
    </row>
    <row r="692" ht="13.5" customHeight="1">
      <c r="A692" s="124"/>
      <c r="B692" s="125"/>
    </row>
    <row r="693" ht="13.5" customHeight="1">
      <c r="A693" s="124"/>
      <c r="B693" s="125"/>
    </row>
    <row r="694" ht="13.5" customHeight="1">
      <c r="A694" s="124"/>
      <c r="B694" s="125"/>
    </row>
    <row r="695" ht="13.5" customHeight="1">
      <c r="A695" s="124"/>
      <c r="B695" s="125"/>
    </row>
    <row r="696" ht="13.5" customHeight="1">
      <c r="A696" s="124"/>
      <c r="B696" s="125"/>
    </row>
    <row r="697" ht="13.5" customHeight="1">
      <c r="A697" s="124"/>
      <c r="B697" s="125"/>
    </row>
    <row r="698" ht="13.5" customHeight="1">
      <c r="A698" s="124"/>
      <c r="B698" s="125"/>
    </row>
    <row r="699" ht="13.5" customHeight="1">
      <c r="A699" s="124"/>
      <c r="B699" s="125"/>
    </row>
    <row r="700" ht="13.5" customHeight="1">
      <c r="A700" s="124"/>
      <c r="B700" s="125"/>
    </row>
    <row r="701" ht="13.5" customHeight="1">
      <c r="A701" s="124"/>
      <c r="B701" s="125"/>
    </row>
    <row r="702" ht="13.5" customHeight="1">
      <c r="A702" s="124"/>
      <c r="B702" s="125"/>
    </row>
    <row r="703" ht="13.5" customHeight="1">
      <c r="A703" s="124"/>
      <c r="B703" s="125"/>
    </row>
    <row r="704" ht="13.5" customHeight="1">
      <c r="A704" s="124"/>
      <c r="B704" s="125"/>
    </row>
    <row r="705" ht="13.5" customHeight="1">
      <c r="A705" s="124"/>
      <c r="B705" s="125"/>
    </row>
    <row r="706" ht="13.5" customHeight="1">
      <c r="A706" s="124"/>
      <c r="B706" s="125"/>
    </row>
    <row r="707" ht="13.5" customHeight="1">
      <c r="A707" s="124"/>
      <c r="B707" s="125"/>
    </row>
    <row r="708" ht="13.5" customHeight="1">
      <c r="A708" s="124"/>
      <c r="B708" s="125"/>
    </row>
    <row r="709" ht="13.5" customHeight="1">
      <c r="A709" s="124"/>
      <c r="B709" s="125"/>
    </row>
    <row r="710" ht="13.5" customHeight="1">
      <c r="A710" s="124"/>
      <c r="B710" s="125"/>
    </row>
    <row r="711" ht="13.5" customHeight="1">
      <c r="A711" s="124"/>
      <c r="B711" s="125"/>
    </row>
    <row r="712" ht="13.5" customHeight="1">
      <c r="A712" s="124"/>
      <c r="B712" s="125"/>
    </row>
    <row r="713" ht="13.5" customHeight="1">
      <c r="A713" s="124"/>
      <c r="B713" s="125"/>
    </row>
    <row r="714" ht="13.5" customHeight="1">
      <c r="A714" s="124"/>
      <c r="B714" s="125"/>
    </row>
    <row r="715" ht="13.5" customHeight="1">
      <c r="A715" s="124"/>
      <c r="B715" s="125"/>
    </row>
    <row r="716" ht="13.5" customHeight="1">
      <c r="A716" s="124"/>
      <c r="B716" s="125"/>
    </row>
    <row r="717" ht="13.5" customHeight="1">
      <c r="A717" s="124"/>
      <c r="B717" s="125"/>
    </row>
    <row r="718" ht="13.5" customHeight="1">
      <c r="A718" s="124"/>
      <c r="B718" s="125"/>
    </row>
    <row r="719" ht="13.5" customHeight="1">
      <c r="A719" s="124"/>
      <c r="B719" s="125"/>
    </row>
    <row r="720" ht="13.5" customHeight="1">
      <c r="A720" s="124"/>
      <c r="B720" s="125"/>
    </row>
    <row r="721" ht="13.5" customHeight="1">
      <c r="A721" s="124"/>
      <c r="B721" s="125"/>
    </row>
    <row r="722" ht="13.5" customHeight="1">
      <c r="A722" s="124"/>
      <c r="B722" s="125"/>
    </row>
    <row r="723" ht="13.5" customHeight="1">
      <c r="A723" s="124"/>
      <c r="B723" s="125"/>
    </row>
    <row r="724" ht="13.5" customHeight="1">
      <c r="A724" s="124"/>
      <c r="B724" s="125"/>
    </row>
    <row r="725" ht="13.5" customHeight="1">
      <c r="A725" s="124"/>
      <c r="B725" s="125"/>
    </row>
    <row r="726" ht="13.5" customHeight="1">
      <c r="A726" s="124"/>
      <c r="B726" s="125"/>
    </row>
    <row r="727" ht="13.5" customHeight="1">
      <c r="A727" s="124"/>
      <c r="B727" s="125"/>
    </row>
    <row r="728" ht="13.5" customHeight="1">
      <c r="A728" s="124"/>
      <c r="B728" s="125"/>
    </row>
    <row r="729" ht="13.5" customHeight="1">
      <c r="A729" s="124"/>
      <c r="B729" s="125"/>
    </row>
    <row r="730" ht="13.5" customHeight="1">
      <c r="A730" s="124"/>
      <c r="B730" s="125"/>
    </row>
    <row r="731" ht="13.5" customHeight="1">
      <c r="A731" s="124"/>
      <c r="B731" s="125"/>
    </row>
    <row r="732" ht="13.5" customHeight="1">
      <c r="A732" s="124"/>
      <c r="B732" s="125"/>
    </row>
    <row r="733" ht="13.5" customHeight="1">
      <c r="A733" s="124"/>
      <c r="B733" s="125"/>
    </row>
    <row r="734" ht="13.5" customHeight="1">
      <c r="A734" s="124"/>
      <c r="B734" s="125"/>
    </row>
    <row r="735" ht="13.5" customHeight="1">
      <c r="A735" s="124"/>
      <c r="B735" s="125"/>
    </row>
    <row r="736" ht="13.5" customHeight="1">
      <c r="A736" s="124"/>
      <c r="B736" s="125"/>
    </row>
    <row r="737" ht="13.5" customHeight="1">
      <c r="A737" s="124"/>
      <c r="B737" s="125"/>
    </row>
    <row r="738" ht="13.5" customHeight="1">
      <c r="A738" s="124"/>
      <c r="B738" s="125"/>
    </row>
    <row r="739" ht="13.5" customHeight="1">
      <c r="A739" s="124"/>
      <c r="B739" s="125"/>
    </row>
    <row r="740" ht="13.5" customHeight="1">
      <c r="A740" s="124"/>
      <c r="B740" s="125"/>
    </row>
    <row r="741" ht="13.5" customHeight="1">
      <c r="A741" s="124"/>
      <c r="B741" s="125"/>
    </row>
    <row r="742" ht="13.5" customHeight="1">
      <c r="A742" s="124"/>
      <c r="B742" s="125"/>
    </row>
    <row r="743" ht="13.5" customHeight="1">
      <c r="A743" s="124"/>
      <c r="B743" s="125"/>
    </row>
    <row r="744" ht="13.5" customHeight="1">
      <c r="A744" s="124"/>
      <c r="B744" s="125"/>
    </row>
    <row r="745" ht="13.5" customHeight="1">
      <c r="A745" s="124"/>
      <c r="B745" s="125"/>
    </row>
    <row r="746" ht="13.5" customHeight="1">
      <c r="A746" s="124"/>
      <c r="B746" s="125"/>
    </row>
    <row r="747" ht="13.5" customHeight="1">
      <c r="A747" s="124"/>
      <c r="B747" s="125"/>
    </row>
    <row r="748" ht="13.5" customHeight="1">
      <c r="A748" s="124"/>
      <c r="B748" s="125"/>
    </row>
    <row r="749" ht="13.5" customHeight="1">
      <c r="A749" s="124"/>
      <c r="B749" s="125"/>
    </row>
    <row r="750" ht="13.5" customHeight="1">
      <c r="A750" s="124"/>
      <c r="B750" s="125"/>
    </row>
    <row r="751" ht="13.5" customHeight="1">
      <c r="A751" s="124"/>
      <c r="B751" s="125"/>
    </row>
    <row r="752" ht="13.5" customHeight="1">
      <c r="A752" s="124"/>
      <c r="B752" s="125"/>
    </row>
    <row r="753" ht="13.5" customHeight="1">
      <c r="A753" s="124"/>
      <c r="B753" s="125"/>
    </row>
    <row r="754" ht="13.5" customHeight="1">
      <c r="A754" s="124"/>
      <c r="B754" s="125"/>
    </row>
    <row r="755" ht="13.5" customHeight="1">
      <c r="A755" s="124"/>
      <c r="B755" s="125"/>
    </row>
    <row r="756" ht="13.5" customHeight="1">
      <c r="A756" s="124"/>
      <c r="B756" s="125"/>
    </row>
    <row r="757" ht="13.5" customHeight="1">
      <c r="A757" s="124"/>
      <c r="B757" s="125"/>
    </row>
    <row r="758" ht="13.5" customHeight="1">
      <c r="A758" s="124"/>
      <c r="B758" s="125"/>
    </row>
    <row r="759" ht="13.5" customHeight="1">
      <c r="A759" s="124"/>
      <c r="B759" s="125"/>
    </row>
    <row r="760" ht="13.5" customHeight="1">
      <c r="A760" s="124"/>
      <c r="B760" s="125"/>
    </row>
    <row r="761" ht="13.5" customHeight="1">
      <c r="A761" s="124"/>
      <c r="B761" s="125"/>
    </row>
    <row r="762" ht="13.5" customHeight="1">
      <c r="A762" s="124"/>
      <c r="B762" s="125"/>
    </row>
    <row r="763" ht="13.5" customHeight="1">
      <c r="A763" s="124"/>
      <c r="B763" s="125"/>
    </row>
    <row r="764" ht="13.5" customHeight="1">
      <c r="A764" s="124"/>
      <c r="B764" s="125"/>
    </row>
    <row r="765" ht="13.5" customHeight="1">
      <c r="A765" s="124"/>
      <c r="B765" s="125"/>
    </row>
    <row r="766" ht="13.5" customHeight="1">
      <c r="A766" s="124"/>
      <c r="B766" s="125"/>
    </row>
    <row r="767" ht="13.5" customHeight="1">
      <c r="A767" s="124"/>
      <c r="B767" s="125"/>
    </row>
    <row r="768" ht="13.5" customHeight="1">
      <c r="A768" s="124"/>
      <c r="B768" s="125"/>
    </row>
    <row r="769" ht="13.5" customHeight="1">
      <c r="A769" s="124"/>
      <c r="B769" s="125"/>
    </row>
    <row r="770" ht="13.5" customHeight="1">
      <c r="A770" s="124"/>
      <c r="B770" s="125"/>
    </row>
    <row r="771" ht="13.5" customHeight="1">
      <c r="A771" s="124"/>
      <c r="B771" s="125"/>
    </row>
    <row r="772" ht="13.5" customHeight="1">
      <c r="A772" s="124"/>
      <c r="B772" s="125"/>
    </row>
    <row r="773" ht="13.5" customHeight="1">
      <c r="A773" s="124"/>
      <c r="B773" s="125"/>
    </row>
    <row r="774" ht="13.5" customHeight="1">
      <c r="A774" s="124"/>
      <c r="B774" s="125"/>
    </row>
    <row r="775" ht="13.5" customHeight="1">
      <c r="A775" s="124"/>
      <c r="B775" s="125"/>
    </row>
    <row r="776" ht="13.5" customHeight="1">
      <c r="A776" s="124"/>
      <c r="B776" s="125"/>
    </row>
    <row r="777" ht="13.5" customHeight="1">
      <c r="A777" s="124"/>
      <c r="B777" s="125"/>
    </row>
    <row r="778" ht="13.5" customHeight="1">
      <c r="A778" s="124"/>
      <c r="B778" s="125"/>
    </row>
    <row r="779" ht="13.5" customHeight="1">
      <c r="A779" s="124"/>
      <c r="B779" s="125"/>
    </row>
    <row r="780" ht="13.5" customHeight="1">
      <c r="A780" s="124"/>
      <c r="B780" s="125"/>
    </row>
    <row r="781" ht="13.5" customHeight="1">
      <c r="A781" s="124"/>
      <c r="B781" s="125"/>
    </row>
    <row r="782" ht="13.5" customHeight="1">
      <c r="A782" s="124"/>
      <c r="B782" s="125"/>
    </row>
    <row r="783" ht="13.5" customHeight="1">
      <c r="A783" s="124"/>
      <c r="B783" s="125"/>
    </row>
    <row r="784" ht="13.5" customHeight="1">
      <c r="A784" s="124"/>
      <c r="B784" s="125"/>
    </row>
    <row r="785" ht="13.5" customHeight="1">
      <c r="A785" s="124"/>
      <c r="B785" s="125"/>
    </row>
    <row r="786" ht="13.5" customHeight="1">
      <c r="A786" s="124"/>
      <c r="B786" s="125"/>
    </row>
    <row r="787" ht="13.5" customHeight="1">
      <c r="A787" s="124"/>
      <c r="B787" s="125"/>
    </row>
    <row r="788" ht="13.5" customHeight="1">
      <c r="A788" s="124"/>
      <c r="B788" s="125"/>
    </row>
    <row r="789" ht="13.5" customHeight="1">
      <c r="A789" s="124"/>
      <c r="B789" s="125"/>
    </row>
    <row r="790" ht="13.5" customHeight="1">
      <c r="A790" s="124"/>
      <c r="B790" s="125"/>
    </row>
    <row r="791" ht="13.5" customHeight="1">
      <c r="A791" s="124"/>
      <c r="B791" s="125"/>
    </row>
    <row r="792" ht="13.5" customHeight="1">
      <c r="A792" s="124"/>
      <c r="B792" s="125"/>
    </row>
    <row r="793" ht="13.5" customHeight="1">
      <c r="A793" s="124"/>
      <c r="B793" s="125"/>
    </row>
    <row r="794" ht="13.5" customHeight="1">
      <c r="A794" s="124"/>
      <c r="B794" s="125"/>
    </row>
    <row r="795" ht="13.5" customHeight="1">
      <c r="A795" s="124"/>
      <c r="B795" s="125"/>
    </row>
    <row r="796" ht="13.5" customHeight="1">
      <c r="A796" s="124"/>
      <c r="B796" s="125"/>
    </row>
    <row r="797" ht="13.5" customHeight="1">
      <c r="A797" s="124"/>
      <c r="B797" s="125"/>
    </row>
    <row r="798" ht="13.5" customHeight="1">
      <c r="A798" s="124"/>
      <c r="B798" s="125"/>
    </row>
    <row r="799" ht="13.5" customHeight="1">
      <c r="A799" s="124"/>
      <c r="B799" s="125"/>
    </row>
    <row r="800" ht="13.5" customHeight="1">
      <c r="A800" s="124"/>
      <c r="B800" s="125"/>
    </row>
    <row r="801" ht="13.5" customHeight="1">
      <c r="A801" s="124"/>
      <c r="B801" s="125"/>
    </row>
    <row r="802" ht="13.5" customHeight="1">
      <c r="A802" s="124"/>
      <c r="B802" s="125"/>
    </row>
    <row r="803" ht="13.5" customHeight="1">
      <c r="A803" s="124"/>
      <c r="B803" s="125"/>
    </row>
    <row r="804" ht="13.5" customHeight="1">
      <c r="A804" s="124"/>
      <c r="B804" s="125"/>
    </row>
    <row r="805" ht="13.5" customHeight="1">
      <c r="A805" s="124"/>
      <c r="B805" s="125"/>
    </row>
    <row r="806" ht="13.5" customHeight="1">
      <c r="A806" s="124"/>
      <c r="B806" s="125"/>
    </row>
    <row r="807" ht="13.5" customHeight="1">
      <c r="A807" s="124"/>
      <c r="B807" s="125"/>
    </row>
    <row r="808" ht="13.5" customHeight="1">
      <c r="A808" s="124"/>
      <c r="B808" s="125"/>
    </row>
    <row r="809" ht="13.5" customHeight="1">
      <c r="A809" s="124"/>
      <c r="B809" s="125"/>
    </row>
    <row r="810" ht="13.5" customHeight="1">
      <c r="A810" s="124"/>
      <c r="B810" s="125"/>
    </row>
    <row r="811" ht="13.5" customHeight="1">
      <c r="A811" s="124"/>
      <c r="B811" s="125"/>
    </row>
    <row r="812" ht="13.5" customHeight="1">
      <c r="A812" s="124"/>
      <c r="B812" s="125"/>
    </row>
    <row r="813" ht="13.5" customHeight="1">
      <c r="A813" s="124"/>
      <c r="B813" s="125"/>
    </row>
    <row r="814" ht="13.5" customHeight="1">
      <c r="A814" s="124"/>
      <c r="B814" s="125"/>
    </row>
    <row r="815" ht="13.5" customHeight="1">
      <c r="A815" s="124"/>
      <c r="B815" s="125"/>
    </row>
    <row r="816" ht="13.5" customHeight="1">
      <c r="A816" s="124"/>
      <c r="B816" s="125"/>
    </row>
    <row r="817" ht="13.5" customHeight="1">
      <c r="A817" s="124"/>
      <c r="B817" s="125"/>
    </row>
    <row r="818" ht="13.5" customHeight="1">
      <c r="A818" s="124"/>
      <c r="B818" s="125"/>
    </row>
    <row r="819" ht="13.5" customHeight="1">
      <c r="A819" s="124"/>
      <c r="B819" s="125"/>
    </row>
    <row r="820" ht="13.5" customHeight="1">
      <c r="A820" s="124"/>
      <c r="B820" s="125"/>
    </row>
    <row r="821" ht="13.5" customHeight="1">
      <c r="A821" s="124"/>
      <c r="B821" s="125"/>
    </row>
    <row r="822" ht="13.5" customHeight="1">
      <c r="A822" s="124"/>
      <c r="B822" s="125"/>
    </row>
    <row r="823" ht="13.5" customHeight="1">
      <c r="A823" s="124"/>
      <c r="B823" s="125"/>
    </row>
    <row r="824" ht="13.5" customHeight="1">
      <c r="A824" s="124"/>
      <c r="B824" s="125"/>
    </row>
    <row r="825" ht="13.5" customHeight="1">
      <c r="A825" s="124"/>
      <c r="B825" s="125"/>
    </row>
    <row r="826" ht="13.5" customHeight="1">
      <c r="A826" s="124"/>
      <c r="B826" s="125"/>
    </row>
    <row r="827" ht="13.5" customHeight="1">
      <c r="A827" s="124"/>
      <c r="B827" s="125"/>
    </row>
    <row r="828" ht="13.5" customHeight="1">
      <c r="A828" s="124"/>
      <c r="B828" s="125"/>
    </row>
    <row r="829" ht="13.5" customHeight="1">
      <c r="A829" s="124"/>
      <c r="B829" s="125"/>
    </row>
    <row r="830" ht="13.5" customHeight="1">
      <c r="A830" s="124"/>
      <c r="B830" s="125"/>
    </row>
    <row r="831" ht="13.5" customHeight="1">
      <c r="A831" s="124"/>
      <c r="B831" s="125"/>
    </row>
    <row r="832" ht="13.5" customHeight="1">
      <c r="A832" s="124"/>
      <c r="B832" s="125"/>
    </row>
    <row r="833" ht="13.5" customHeight="1">
      <c r="A833" s="124"/>
      <c r="B833" s="125"/>
    </row>
    <row r="834" ht="13.5" customHeight="1">
      <c r="A834" s="124"/>
      <c r="B834" s="125"/>
    </row>
    <row r="835" ht="13.5" customHeight="1">
      <c r="A835" s="124"/>
      <c r="B835" s="125"/>
    </row>
    <row r="836" ht="13.5" customHeight="1">
      <c r="A836" s="124"/>
      <c r="B836" s="125"/>
    </row>
    <row r="837" ht="13.5" customHeight="1">
      <c r="A837" s="124"/>
      <c r="B837" s="125"/>
    </row>
    <row r="838" ht="13.5" customHeight="1">
      <c r="A838" s="124"/>
      <c r="B838" s="125"/>
    </row>
    <row r="839" ht="13.5" customHeight="1">
      <c r="A839" s="124"/>
      <c r="B839" s="125"/>
    </row>
    <row r="840" ht="13.5" customHeight="1">
      <c r="A840" s="124"/>
      <c r="B840" s="125"/>
    </row>
    <row r="841" ht="13.5" customHeight="1">
      <c r="A841" s="124"/>
      <c r="B841" s="125"/>
    </row>
    <row r="842" ht="13.5" customHeight="1">
      <c r="A842" s="124"/>
      <c r="B842" s="125"/>
    </row>
    <row r="843" ht="13.5" customHeight="1">
      <c r="A843" s="124"/>
      <c r="B843" s="125"/>
    </row>
    <row r="844" ht="13.5" customHeight="1">
      <c r="A844" s="124"/>
      <c r="B844" s="125"/>
    </row>
    <row r="845" ht="13.5" customHeight="1">
      <c r="A845" s="124"/>
      <c r="B845" s="125"/>
    </row>
    <row r="846" ht="13.5" customHeight="1">
      <c r="A846" s="124"/>
      <c r="B846" s="125"/>
    </row>
    <row r="847" ht="13.5" customHeight="1">
      <c r="A847" s="124"/>
      <c r="B847" s="125"/>
    </row>
    <row r="848" ht="13.5" customHeight="1">
      <c r="A848" s="124"/>
      <c r="B848" s="125"/>
    </row>
    <row r="849" ht="13.5" customHeight="1">
      <c r="A849" s="124"/>
      <c r="B849" s="125"/>
    </row>
    <row r="850" ht="13.5" customHeight="1">
      <c r="A850" s="124"/>
      <c r="B850" s="125"/>
    </row>
    <row r="851" ht="13.5" customHeight="1">
      <c r="A851" s="124"/>
      <c r="B851" s="125"/>
    </row>
    <row r="852" ht="13.5" customHeight="1">
      <c r="A852" s="124"/>
      <c r="B852" s="125"/>
    </row>
    <row r="853" ht="13.5" customHeight="1">
      <c r="A853" s="124"/>
      <c r="B853" s="125"/>
    </row>
    <row r="854" ht="13.5" customHeight="1">
      <c r="A854" s="124"/>
      <c r="B854" s="125"/>
    </row>
    <row r="855" ht="13.5" customHeight="1">
      <c r="A855" s="124"/>
      <c r="B855" s="125"/>
    </row>
    <row r="856" ht="13.5" customHeight="1">
      <c r="A856" s="124"/>
      <c r="B856" s="125"/>
    </row>
    <row r="857" ht="13.5" customHeight="1">
      <c r="A857" s="124"/>
      <c r="B857" s="125"/>
    </row>
    <row r="858" ht="13.5" customHeight="1">
      <c r="A858" s="124"/>
      <c r="B858" s="125"/>
    </row>
    <row r="859" ht="13.5" customHeight="1">
      <c r="A859" s="124"/>
      <c r="B859" s="125"/>
    </row>
    <row r="860" ht="13.5" customHeight="1">
      <c r="A860" s="124"/>
      <c r="B860" s="125"/>
    </row>
    <row r="861" ht="13.5" customHeight="1">
      <c r="A861" s="124"/>
      <c r="B861" s="125"/>
    </row>
    <row r="862" ht="13.5" customHeight="1">
      <c r="A862" s="124"/>
      <c r="B862" s="125"/>
    </row>
    <row r="863" ht="13.5" customHeight="1">
      <c r="A863" s="124"/>
      <c r="B863" s="125"/>
    </row>
    <row r="864" ht="13.5" customHeight="1">
      <c r="A864" s="124"/>
      <c r="B864" s="125"/>
    </row>
    <row r="865" ht="13.5" customHeight="1">
      <c r="A865" s="124"/>
      <c r="B865" s="125"/>
    </row>
    <row r="866" ht="13.5" customHeight="1">
      <c r="A866" s="124"/>
      <c r="B866" s="125"/>
    </row>
    <row r="867" ht="13.5" customHeight="1">
      <c r="A867" s="124"/>
      <c r="B867" s="125"/>
    </row>
    <row r="868" ht="13.5" customHeight="1">
      <c r="A868" s="124"/>
      <c r="B868" s="125"/>
    </row>
    <row r="869" ht="13.5" customHeight="1">
      <c r="A869" s="124"/>
      <c r="B869" s="125"/>
    </row>
    <row r="870" ht="13.5" customHeight="1">
      <c r="A870" s="124"/>
      <c r="B870" s="125"/>
    </row>
    <row r="871" ht="13.5" customHeight="1">
      <c r="A871" s="124"/>
      <c r="B871" s="125"/>
    </row>
    <row r="872" ht="13.5" customHeight="1">
      <c r="A872" s="124"/>
      <c r="B872" s="125"/>
    </row>
    <row r="873" ht="13.5" customHeight="1">
      <c r="A873" s="124"/>
      <c r="B873" s="125"/>
    </row>
    <row r="874" ht="13.5" customHeight="1">
      <c r="A874" s="124"/>
      <c r="B874" s="125"/>
    </row>
    <row r="875" ht="13.5" customHeight="1">
      <c r="A875" s="124"/>
      <c r="B875" s="125"/>
    </row>
    <row r="876" ht="13.5" customHeight="1">
      <c r="A876" s="124"/>
      <c r="B876" s="125"/>
    </row>
    <row r="877" ht="13.5" customHeight="1">
      <c r="A877" s="124"/>
      <c r="B877" s="125"/>
    </row>
    <row r="878" ht="13.5" customHeight="1">
      <c r="A878" s="124"/>
      <c r="B878" s="125"/>
    </row>
    <row r="879" ht="13.5" customHeight="1">
      <c r="A879" s="124"/>
      <c r="B879" s="125"/>
    </row>
    <row r="880" ht="13.5" customHeight="1">
      <c r="A880" s="124"/>
      <c r="B880" s="125"/>
    </row>
    <row r="881" ht="13.5" customHeight="1">
      <c r="A881" s="124"/>
      <c r="B881" s="125"/>
    </row>
    <row r="882" ht="13.5" customHeight="1">
      <c r="A882" s="124"/>
      <c r="B882" s="125"/>
    </row>
    <row r="883" ht="13.5" customHeight="1">
      <c r="A883" s="124"/>
      <c r="B883" s="125"/>
    </row>
    <row r="884" ht="13.5" customHeight="1">
      <c r="A884" s="124"/>
      <c r="B884" s="125"/>
    </row>
    <row r="885" ht="13.5" customHeight="1">
      <c r="A885" s="124"/>
      <c r="B885" s="125"/>
    </row>
    <row r="886" ht="13.5" customHeight="1">
      <c r="A886" s="124"/>
      <c r="B886" s="125"/>
    </row>
    <row r="887" ht="13.5" customHeight="1">
      <c r="A887" s="124"/>
      <c r="B887" s="125"/>
    </row>
    <row r="888" ht="13.5" customHeight="1">
      <c r="A888" s="124"/>
      <c r="B888" s="125"/>
    </row>
    <row r="889" ht="13.5" customHeight="1">
      <c r="A889" s="124"/>
      <c r="B889" s="125"/>
    </row>
    <row r="890" ht="13.5" customHeight="1">
      <c r="A890" s="124"/>
      <c r="B890" s="125"/>
    </row>
    <row r="891" ht="13.5" customHeight="1">
      <c r="A891" s="124"/>
      <c r="B891" s="125"/>
    </row>
    <row r="892" ht="13.5" customHeight="1">
      <c r="A892" s="124"/>
      <c r="B892" s="125"/>
    </row>
    <row r="893" ht="13.5" customHeight="1">
      <c r="A893" s="124"/>
      <c r="B893" s="125"/>
    </row>
    <row r="894" ht="13.5" customHeight="1">
      <c r="A894" s="124"/>
      <c r="B894" s="125"/>
    </row>
    <row r="895" ht="13.5" customHeight="1">
      <c r="A895" s="124"/>
      <c r="B895" s="125"/>
    </row>
    <row r="896" ht="13.5" customHeight="1">
      <c r="A896" s="124"/>
      <c r="B896" s="125"/>
    </row>
    <row r="897" ht="13.5" customHeight="1">
      <c r="A897" s="124"/>
      <c r="B897" s="125"/>
    </row>
    <row r="898" ht="13.5" customHeight="1">
      <c r="A898" s="124"/>
      <c r="B898" s="125"/>
    </row>
    <row r="899" ht="13.5" customHeight="1">
      <c r="A899" s="124"/>
      <c r="B899" s="125"/>
    </row>
    <row r="900" ht="13.5" customHeight="1">
      <c r="A900" s="124"/>
      <c r="B900" s="125"/>
    </row>
    <row r="901" ht="13.5" customHeight="1">
      <c r="A901" s="124"/>
      <c r="B901" s="125"/>
    </row>
    <row r="902" ht="13.5" customHeight="1">
      <c r="A902" s="124"/>
      <c r="B902" s="125"/>
    </row>
    <row r="903" ht="13.5" customHeight="1">
      <c r="A903" s="124"/>
      <c r="B903" s="125"/>
    </row>
    <row r="904" ht="13.5" customHeight="1">
      <c r="A904" s="124"/>
      <c r="B904" s="125"/>
    </row>
    <row r="905" ht="13.5" customHeight="1">
      <c r="A905" s="124"/>
      <c r="B905" s="125"/>
    </row>
    <row r="906" ht="13.5" customHeight="1">
      <c r="A906" s="124"/>
      <c r="B906" s="125"/>
    </row>
    <row r="907" ht="13.5" customHeight="1">
      <c r="A907" s="124"/>
      <c r="B907" s="125"/>
    </row>
    <row r="908" ht="13.5" customHeight="1">
      <c r="A908" s="124"/>
      <c r="B908" s="125"/>
    </row>
    <row r="909" ht="13.5" customHeight="1">
      <c r="A909" s="124"/>
      <c r="B909" s="125"/>
    </row>
    <row r="910" ht="13.5" customHeight="1">
      <c r="A910" s="124"/>
      <c r="B910" s="125"/>
    </row>
    <row r="911" ht="13.5" customHeight="1">
      <c r="A911" s="124"/>
      <c r="B911" s="125"/>
    </row>
    <row r="912" ht="13.5" customHeight="1">
      <c r="A912" s="124"/>
      <c r="B912" s="125"/>
    </row>
    <row r="913" ht="13.5" customHeight="1">
      <c r="A913" s="124"/>
      <c r="B913" s="125"/>
    </row>
    <row r="914" ht="13.5" customHeight="1">
      <c r="A914" s="124"/>
      <c r="B914" s="125"/>
    </row>
    <row r="915" ht="13.5" customHeight="1">
      <c r="A915" s="124"/>
      <c r="B915" s="125"/>
    </row>
    <row r="916" ht="13.5" customHeight="1">
      <c r="A916" s="124"/>
      <c r="B916" s="125"/>
    </row>
    <row r="917" ht="13.5" customHeight="1">
      <c r="A917" s="124"/>
      <c r="B917" s="125"/>
    </row>
    <row r="918" ht="13.5" customHeight="1">
      <c r="A918" s="124"/>
      <c r="B918" s="125"/>
    </row>
    <row r="919" ht="13.5" customHeight="1">
      <c r="A919" s="124"/>
      <c r="B919" s="125"/>
    </row>
    <row r="920" ht="13.5" customHeight="1">
      <c r="A920" s="124"/>
      <c r="B920" s="125"/>
    </row>
    <row r="921" ht="13.5" customHeight="1">
      <c r="A921" s="124"/>
      <c r="B921" s="125"/>
    </row>
    <row r="922" ht="13.5" customHeight="1">
      <c r="A922" s="124"/>
      <c r="B922" s="125"/>
    </row>
    <row r="923" ht="13.5" customHeight="1">
      <c r="A923" s="124"/>
      <c r="B923" s="125"/>
    </row>
    <row r="924" ht="13.5" customHeight="1">
      <c r="A924" s="124"/>
      <c r="B924" s="125"/>
    </row>
    <row r="925" ht="13.5" customHeight="1">
      <c r="A925" s="124"/>
      <c r="B925" s="125"/>
    </row>
    <row r="926" ht="13.5" customHeight="1">
      <c r="A926" s="124"/>
      <c r="B926" s="125"/>
    </row>
    <row r="927" ht="13.5" customHeight="1">
      <c r="A927" s="124"/>
      <c r="B927" s="125"/>
    </row>
    <row r="928" ht="13.5" customHeight="1">
      <c r="A928" s="124"/>
      <c r="B928" s="125"/>
    </row>
    <row r="929" ht="13.5" customHeight="1">
      <c r="A929" s="124"/>
      <c r="B929" s="125"/>
    </row>
    <row r="930" ht="13.5" customHeight="1">
      <c r="A930" s="124"/>
      <c r="B930" s="125"/>
    </row>
  </sheetData>
  <conditionalFormatting sqref="J5 J7">
    <cfRule type="cellIs" dxfId="9" priority="1" operator="greaterThan">
      <formula>0</formula>
    </cfRule>
  </conditionalFormatting>
  <conditionalFormatting sqref="J8">
    <cfRule type="notContainsBlanks" dxfId="9" priority="2">
      <formula>LEN(TRIM(J8))&gt;0</formula>
    </cfRule>
  </conditionalFormatting>
  <conditionalFormatting sqref="J10">
    <cfRule type="notContainsBlanks" dxfId="9" priority="3">
      <formula>LEN(TRIM(J10))&gt;0</formula>
    </cfRule>
  </conditionalFormatting>
  <dataValidations>
    <dataValidation type="list" allowBlank="1" showErrorMessage="1" sqref="D3">
      <formula1>Tb_Proteccion_N[Protección de la niñez]</formula1>
    </dataValidation>
    <dataValidation type="list" allowBlank="1" showErrorMessage="1" sqref="B5">
      <formula1>Tb_TipoInstalacion[Tipo_Instalacion]</formula1>
    </dataValidation>
    <dataValidation type="date" allowBlank="1" showDropDown="1" showInputMessage="1" showErrorMessage="1" prompt="Ingrese una fecha valida" sqref="Q2:R2 D5">
      <formula1>46197.0</formula1>
      <formula2>46387.0</formula2>
    </dataValidation>
    <dataValidation type="list" allowBlank="1" showErrorMessage="1" sqref="Q3 J12">
      <formula1>"Si,No"</formula1>
    </dataValidation>
    <dataValidation type="list" allowBlank="1" showErrorMessage="1" sqref="B2">
      <formula1>Ubicaciones!$B$4:$B$27</formula1>
    </dataValidation>
    <dataValidation type="list" allowBlank="1" showErrorMessage="1" sqref="D2">
      <formula1>Tb_Programatico[Programatico]</formula1>
    </dataValidation>
    <dataValidation allowBlank="1" showDropDown="1" sqref="L16:L19"/>
    <dataValidation type="list" allowBlank="1" showErrorMessage="1" sqref="B4">
      <formula1>Datos!$Z$2:$Z$103</formula1>
    </dataValidation>
    <dataValidation type="list" allowBlank="1" showErrorMessage="1" sqref="B3">
      <formula1>Datos!$Y$2:$Y$103</formula1>
    </dataValidation>
    <dataValidation type="decimal" allowBlank="1" showDropDown="1" showInputMessage="1" showErrorMessage="1" prompt="Longitud No es valida" sqref="B8">
      <formula1>-73.35</formula1>
      <formula2>-59.8</formula2>
    </dataValidation>
    <dataValidation type="decimal" allowBlank="1" showDropDown="1" showInputMessage="1" showErrorMessage="1" prompt="Latitud No valida" sqref="B7">
      <formula1>0.6333</formula1>
      <formula2>12.2011</formula2>
    </dataValidation>
    <dataValidation type="list" allowBlank="1" showErrorMessage="1" sqref="H12">
      <formula1>Tb_Etnias[Etnia]</formula1>
    </dataValidation>
    <dataValidation type="decimal" allowBlank="1" showDropDown="1" showInputMessage="1" showErrorMessage="1" prompt="Edad no es valida" sqref="C12">
      <formula1>0.0</formula1>
      <formula2>120.0</formula2>
    </dataValidation>
    <dataValidation type="list" allowBlank="1" showErrorMessage="1" sqref="D12">
      <formula1>Listas!$K$6:$K$7</formula1>
    </dataValidation>
    <dataValidation type="list" allowBlank="1" showErrorMessage="1" sqref="G12">
      <formula1>Tb_Discapacidad[Discapacidad]</formula1>
    </dataValidation>
    <dataValidation type="list" allowBlank="1" showErrorMessage="1" sqref="I12">
      <formula1>"Si,No,N/A"</formula1>
    </dataValidation>
  </dataValidations>
  <printOptions/>
  <pageMargins bottom="0.75" footer="0.0" header="0.0" left="0.7" right="0.7" top="0.75"/>
  <pageSetup orientation="portrait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25"/>
    <col customWidth="1" min="3" max="3" width="13.63"/>
    <col customWidth="1" min="4" max="4" width="13.5"/>
    <col customWidth="1" min="5" max="5" width="37.63"/>
    <col customWidth="1" min="6" max="6" width="19.75"/>
    <col customWidth="1" min="8" max="8" width="12.75"/>
    <col customWidth="1" min="9" max="9" width="22.5"/>
    <col customWidth="1" min="10" max="10" width="37.63"/>
    <col customWidth="1" min="11" max="11" width="34.38"/>
    <col customWidth="1" min="12" max="12" width="21.25"/>
    <col customWidth="1" min="13" max="13" width="20.5"/>
    <col customWidth="1" min="17" max="17" width="12.75"/>
    <col customWidth="1" min="18" max="18" width="16.5"/>
    <col customWidth="1" min="20" max="20" width="24.25"/>
    <col customWidth="1" min="21" max="21" width="14.63"/>
  </cols>
  <sheetData>
    <row r="1">
      <c r="A1" s="126" t="s">
        <v>2934</v>
      </c>
      <c r="N1" s="50" t="str">
        <f>countifs(Tabla_2[Edad]; &gt;=0 and &lt;=5)</f>
        <v>#ERROR!</v>
      </c>
    </row>
    <row r="3">
      <c r="A3" s="50" t="s">
        <v>2935</v>
      </c>
    </row>
    <row r="4">
      <c r="A4" s="50" t="s">
        <v>2936</v>
      </c>
    </row>
    <row r="5">
      <c r="A5" s="50" t="s">
        <v>2937</v>
      </c>
    </row>
    <row r="10" ht="22.5" customHeight="1">
      <c r="A10" s="1" t="s">
        <v>2896</v>
      </c>
      <c r="B10" s="127" t="s">
        <v>2909</v>
      </c>
      <c r="C10" s="127" t="s">
        <v>2910</v>
      </c>
      <c r="D10" s="127" t="s">
        <v>2911</v>
      </c>
      <c r="E10" s="1" t="s">
        <v>2912</v>
      </c>
      <c r="F10" s="127" t="s">
        <v>2913</v>
      </c>
      <c r="G10" s="1" t="s">
        <v>2914</v>
      </c>
      <c r="H10" s="1" t="s">
        <v>2915</v>
      </c>
      <c r="I10" s="1" t="s">
        <v>2916</v>
      </c>
      <c r="J10" s="1" t="s">
        <v>2917</v>
      </c>
      <c r="K10" s="1" t="s">
        <v>2873</v>
      </c>
      <c r="L10" s="110" t="s">
        <v>2918</v>
      </c>
      <c r="M10" s="1" t="s">
        <v>2919</v>
      </c>
      <c r="N10" s="1" t="s">
        <v>2920</v>
      </c>
      <c r="O10" s="1" t="s">
        <v>2921</v>
      </c>
      <c r="P10" s="1" t="s">
        <v>2900</v>
      </c>
      <c r="Q10" s="1" t="s">
        <v>2901</v>
      </c>
      <c r="R10" s="1" t="s">
        <v>292</v>
      </c>
      <c r="S10" s="1" t="s">
        <v>2922</v>
      </c>
      <c r="T10" s="1" t="s">
        <v>2923</v>
      </c>
      <c r="U10" s="1" t="s">
        <v>2924</v>
      </c>
    </row>
    <row r="11" ht="22.5" customHeight="1">
      <c r="A11" s="128">
        <v>4.0</v>
      </c>
      <c r="B11" s="120" t="s">
        <v>32</v>
      </c>
      <c r="C11" s="120" t="s">
        <v>34</v>
      </c>
      <c r="D11" s="120" t="s">
        <v>36</v>
      </c>
      <c r="E11" s="120" t="s">
        <v>57</v>
      </c>
      <c r="F11" s="120" t="s">
        <v>2926</v>
      </c>
      <c r="G11" s="120">
        <v>0.956565</v>
      </c>
      <c r="H11" s="120">
        <v>-59.99999</v>
      </c>
      <c r="I11" s="120" t="s">
        <v>21</v>
      </c>
      <c r="J11" s="120" t="s">
        <v>163</v>
      </c>
      <c r="K11" s="120" t="s">
        <v>2927</v>
      </c>
      <c r="L11" s="129">
        <v>46218.0</v>
      </c>
      <c r="M11" s="120" t="s">
        <v>2929</v>
      </c>
      <c r="N11" s="120">
        <v>2.0</v>
      </c>
      <c r="O11" s="120" t="s">
        <v>28</v>
      </c>
      <c r="P11" s="120">
        <v>2.0</v>
      </c>
      <c r="Q11" s="120">
        <v>2.0</v>
      </c>
      <c r="R11" s="121" t="s">
        <v>2930</v>
      </c>
      <c r="S11" s="120" t="s">
        <v>22</v>
      </c>
      <c r="T11" s="120" t="s">
        <v>2931</v>
      </c>
      <c r="U11" s="120" t="s">
        <v>2871</v>
      </c>
    </row>
    <row r="12" ht="22.5" customHeight="1">
      <c r="A12" s="128">
        <v>3.0</v>
      </c>
      <c r="B12" s="120" t="s">
        <v>32</v>
      </c>
      <c r="C12" s="120" t="s">
        <v>34</v>
      </c>
      <c r="D12" s="120" t="s">
        <v>36</v>
      </c>
      <c r="E12" s="120" t="s">
        <v>57</v>
      </c>
      <c r="F12" s="120" t="s">
        <v>2926</v>
      </c>
      <c r="G12" s="120">
        <v>0.956565</v>
      </c>
      <c r="H12" s="120">
        <v>-59.99999</v>
      </c>
      <c r="I12" s="120" t="s">
        <v>21</v>
      </c>
      <c r="J12" s="120" t="s">
        <v>163</v>
      </c>
      <c r="K12" s="120" t="s">
        <v>2927</v>
      </c>
      <c r="L12" s="129">
        <v>46218.0</v>
      </c>
      <c r="M12" s="120" t="s">
        <v>2929</v>
      </c>
      <c r="N12" s="120">
        <v>2.0</v>
      </c>
      <c r="O12" s="120" t="s">
        <v>28</v>
      </c>
      <c r="P12" s="120">
        <v>2.0</v>
      </c>
      <c r="Q12" s="120">
        <v>2.0</v>
      </c>
      <c r="R12" s="121" t="s">
        <v>22</v>
      </c>
      <c r="S12" s="120" t="s">
        <v>22</v>
      </c>
      <c r="T12" s="120" t="s">
        <v>2931</v>
      </c>
      <c r="U12" s="120" t="s">
        <v>2908</v>
      </c>
    </row>
    <row r="13" ht="22.5" customHeight="1">
      <c r="A13" s="128">
        <v>2.0</v>
      </c>
      <c r="B13" s="120" t="s">
        <v>32</v>
      </c>
      <c r="C13" s="120" t="s">
        <v>34</v>
      </c>
      <c r="D13" s="120" t="s">
        <v>36</v>
      </c>
      <c r="E13" s="120" t="s">
        <v>57</v>
      </c>
      <c r="F13" s="120" t="s">
        <v>2926</v>
      </c>
      <c r="G13" s="120">
        <v>0.956565</v>
      </c>
      <c r="H13" s="120">
        <v>-59.99999</v>
      </c>
      <c r="I13" s="120" t="s">
        <v>21</v>
      </c>
      <c r="J13" s="120" t="s">
        <v>163</v>
      </c>
      <c r="K13" s="120" t="s">
        <v>2927</v>
      </c>
      <c r="L13" s="129">
        <v>46218.0</v>
      </c>
      <c r="M13" s="120" t="s">
        <v>2932</v>
      </c>
      <c r="N13" s="120">
        <v>5.0</v>
      </c>
      <c r="O13" s="120" t="s">
        <v>28</v>
      </c>
      <c r="P13" s="120">
        <v>444.0</v>
      </c>
      <c r="Q13" s="120">
        <v>4444.0</v>
      </c>
      <c r="R13" s="121" t="s">
        <v>22</v>
      </c>
      <c r="S13" s="120" t="s">
        <v>41</v>
      </c>
      <c r="T13" s="120" t="s">
        <v>2908</v>
      </c>
      <c r="U13" s="120" t="s">
        <v>2871</v>
      </c>
    </row>
    <row r="14" ht="22.5" customHeight="1">
      <c r="A14" s="120">
        <v>1.0</v>
      </c>
      <c r="B14" s="120" t="s">
        <v>32</v>
      </c>
      <c r="C14" s="120" t="s">
        <v>34</v>
      </c>
      <c r="D14" s="120" t="s">
        <v>36</v>
      </c>
      <c r="E14" s="120" t="s">
        <v>57</v>
      </c>
      <c r="F14" s="120" t="s">
        <v>2926</v>
      </c>
      <c r="G14" s="120">
        <v>0.956565</v>
      </c>
      <c r="H14" s="120">
        <v>-59.99999</v>
      </c>
      <c r="I14" s="120" t="s">
        <v>21</v>
      </c>
      <c r="J14" s="120" t="s">
        <v>163</v>
      </c>
      <c r="K14" s="120" t="s">
        <v>2927</v>
      </c>
      <c r="L14" s="129">
        <v>46218.0</v>
      </c>
      <c r="M14" s="120" t="s">
        <v>2933</v>
      </c>
      <c r="N14" s="120">
        <v>66.0</v>
      </c>
      <c r="O14" s="120" t="s">
        <v>47</v>
      </c>
      <c r="P14" s="120">
        <v>444444.0</v>
      </c>
      <c r="Q14" s="120">
        <v>77777.0</v>
      </c>
      <c r="R14" s="121" t="s">
        <v>334</v>
      </c>
      <c r="S14" s="120" t="s">
        <v>238</v>
      </c>
      <c r="T14" s="120" t="s">
        <v>2908</v>
      </c>
      <c r="U14" s="120" t="s">
        <v>2908</v>
      </c>
    </row>
  </sheetData>
  <dataValidations>
    <dataValidation type="custom" allowBlank="1" showDropDown="1" sqref="L11:L14">
      <formula1>OR(NOT(ISERROR(DATEVALUE(L11))), AND(ISNUMBER(L11), LEFT(CELL("format", L11))="D"))</formula1>
    </dataValidation>
  </dataValidations>
  <hyperlinks>
    <hyperlink r:id="rId1" ref="A1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25"/>
    <col customWidth="1" min="2" max="2" width="31.5"/>
    <col customWidth="1" min="3" max="3" width="31.88"/>
    <col customWidth="1" min="4" max="4" width="41.13"/>
    <col customWidth="1" min="5" max="5" width="29.13"/>
    <col customWidth="1" min="6" max="6" width="14.25"/>
    <col customWidth="1" min="7" max="7" width="13.88"/>
    <col customWidth="1" min="8" max="8" width="14.13"/>
    <col customWidth="1" min="9" max="9" width="20.88"/>
    <col customWidth="1" min="10" max="10" width="34.5"/>
    <col customWidth="1" min="11" max="11" width="19.38"/>
    <col customWidth="1" min="12" max="12" width="25.63"/>
    <col customWidth="1" min="13" max="13" width="11.75"/>
    <col customWidth="1" min="14" max="14" width="11.13"/>
    <col customWidth="1" min="15" max="15" width="19.88"/>
    <col customWidth="1" min="16" max="16" width="17.38"/>
    <col customWidth="1" min="17" max="17" width="18.75"/>
    <col customWidth="1" min="18" max="20" width="10.63"/>
    <col customWidth="1" min="21" max="21" width="25.88"/>
    <col customWidth="1" min="22" max="23" width="10.63"/>
    <col customWidth="1" min="24" max="24" width="6.75"/>
    <col customWidth="1" min="25" max="25" width="21.38"/>
    <col customWidth="1" min="26" max="42" width="10.63"/>
  </cols>
  <sheetData>
    <row r="1" ht="13.5" customHeight="1">
      <c r="A1" s="64" t="s">
        <v>2860</v>
      </c>
      <c r="B1" s="65"/>
      <c r="C1" s="64" t="s">
        <v>18</v>
      </c>
      <c r="D1" s="64"/>
      <c r="E1" s="66"/>
      <c r="F1" s="66"/>
      <c r="G1" s="66"/>
      <c r="H1" s="66"/>
      <c r="I1" s="67"/>
      <c r="J1" s="68"/>
      <c r="K1" s="67"/>
      <c r="L1" s="67"/>
      <c r="M1" s="67"/>
      <c r="N1" s="69"/>
      <c r="O1" s="67"/>
      <c r="P1" s="69"/>
      <c r="Q1" s="67"/>
      <c r="R1" s="67"/>
      <c r="S1" s="67"/>
      <c r="T1" s="67"/>
      <c r="Y1" s="50" t="s">
        <v>584</v>
      </c>
      <c r="Z1" s="50" t="s">
        <v>585</v>
      </c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</row>
    <row r="2" ht="27.0" customHeight="1">
      <c r="A2" s="70" t="s">
        <v>2864</v>
      </c>
      <c r="B2" s="71" t="s">
        <v>100</v>
      </c>
      <c r="C2" s="72" t="s">
        <v>2865</v>
      </c>
      <c r="D2" s="73" t="s">
        <v>21</v>
      </c>
      <c r="E2" s="74"/>
      <c r="F2" s="66"/>
      <c r="G2" s="66"/>
      <c r="H2" s="66"/>
      <c r="I2" s="67"/>
      <c r="J2" s="75"/>
      <c r="K2" s="67"/>
      <c r="L2" s="67"/>
      <c r="M2" s="67"/>
      <c r="N2" s="69"/>
      <c r="O2" s="67"/>
      <c r="P2" s="69"/>
      <c r="Q2" s="67"/>
      <c r="R2" s="67"/>
      <c r="S2" s="67"/>
      <c r="T2" s="67"/>
      <c r="Y2" s="58" t="str">
        <f>IFERROR(__xludf.DUMMYFUNCTION("FILTER(Ubicaciones!$N$72:$N$1206,Ubicaciones!$L$72:$L$1206=$B$2)"),"Bolívar")</f>
        <v>Bolívar</v>
      </c>
      <c r="Z2" s="58" t="str">
        <f>IFERROR(__xludf.DUMMYFUNCTION("FILTER(Ubicaciones!P72:P1206,(Ubicaciones!N72:N1206=B3) * (Ubicaciones!L72:L1206=B2))"),"Capital José Ángel Lamas")</f>
        <v>Capital José Ángel Lamas</v>
      </c>
      <c r="AA2" s="5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58"/>
      <c r="AN2" s="58"/>
      <c r="AO2" s="58"/>
      <c r="AP2" s="58"/>
    </row>
    <row r="3" ht="13.5" customHeight="1">
      <c r="A3" s="70" t="s">
        <v>2868</v>
      </c>
      <c r="B3" s="79" t="s">
        <v>395</v>
      </c>
      <c r="C3" s="130" t="s">
        <v>2869</v>
      </c>
      <c r="D3" s="80" t="s">
        <v>163</v>
      </c>
      <c r="E3" s="66"/>
      <c r="F3" s="66"/>
      <c r="G3" s="66"/>
      <c r="H3" s="66"/>
      <c r="I3" s="67"/>
      <c r="J3" s="75"/>
      <c r="K3" s="67"/>
      <c r="L3" s="67"/>
      <c r="M3" s="67"/>
      <c r="N3" s="69"/>
      <c r="O3" s="67"/>
      <c r="P3" s="69"/>
      <c r="Q3" s="67"/>
      <c r="R3" s="67"/>
      <c r="S3" s="67"/>
      <c r="T3" s="67"/>
      <c r="Y3" s="57" t="str">
        <f>IFERROR(__xludf.DUMMYFUNCTION("""COMPUTED_VALUE"""),"Camatagua")</f>
        <v>Camatagua</v>
      </c>
    </row>
    <row r="4" ht="29.25" customHeight="1">
      <c r="A4" s="70" t="s">
        <v>2872</v>
      </c>
      <c r="B4" s="79" t="s">
        <v>88</v>
      </c>
      <c r="C4" s="86" t="s">
        <v>2878</v>
      </c>
      <c r="D4" s="77">
        <v>46218.0</v>
      </c>
      <c r="E4" s="66"/>
      <c r="F4" s="66"/>
      <c r="G4" s="66"/>
      <c r="H4" s="66"/>
      <c r="I4" s="67"/>
      <c r="J4" s="75"/>
      <c r="K4" s="67"/>
      <c r="L4" s="67"/>
      <c r="M4" s="67"/>
      <c r="N4" s="69"/>
      <c r="O4" s="67"/>
      <c r="P4" s="69"/>
      <c r="Q4" s="67"/>
      <c r="R4" s="67"/>
      <c r="S4" s="67"/>
      <c r="T4" s="67"/>
      <c r="Y4" s="57" t="str">
        <f>IFERROR(__xludf.DUMMYFUNCTION("""COMPUTED_VALUE"""),"Camatagua")</f>
        <v>Camatagua</v>
      </c>
    </row>
    <row r="5" ht="13.5" customHeight="1">
      <c r="A5" s="84" t="s">
        <v>2877</v>
      </c>
      <c r="B5" s="85" t="s">
        <v>57</v>
      </c>
      <c r="C5" s="68"/>
      <c r="E5" s="66"/>
      <c r="F5" s="66"/>
      <c r="G5" s="66"/>
      <c r="H5" s="66"/>
      <c r="I5" s="67"/>
      <c r="J5" s="75"/>
      <c r="K5" s="67"/>
      <c r="L5" s="67"/>
      <c r="M5" s="67"/>
      <c r="N5" s="69"/>
      <c r="O5" s="67"/>
      <c r="P5" s="69"/>
      <c r="Q5" s="67"/>
      <c r="R5" s="67"/>
      <c r="S5" s="67"/>
      <c r="T5" s="67"/>
      <c r="Y5" s="57" t="str">
        <f>IFERROR(__xludf.DUMMYFUNCTION("""COMPUTED_VALUE"""),"Girardot")</f>
        <v>Girardot</v>
      </c>
    </row>
    <row r="6" ht="26.25" customHeight="1">
      <c r="A6" s="86" t="s">
        <v>2881</v>
      </c>
      <c r="B6" s="131" t="s">
        <v>2926</v>
      </c>
      <c r="C6" s="68"/>
      <c r="D6" s="66"/>
      <c r="E6" s="74"/>
      <c r="F6" s="66"/>
      <c r="G6" s="66"/>
      <c r="H6" s="66"/>
      <c r="I6" s="67"/>
      <c r="J6" s="75"/>
      <c r="K6" s="67"/>
      <c r="L6" s="67"/>
      <c r="M6" s="67"/>
      <c r="N6" s="69"/>
      <c r="O6" s="67"/>
      <c r="P6" s="69"/>
      <c r="Q6" s="67"/>
      <c r="R6" s="67"/>
      <c r="S6" s="67"/>
      <c r="T6" s="67"/>
      <c r="Y6" s="57" t="str">
        <f>IFERROR(__xludf.DUMMYFUNCTION("""COMPUTED_VALUE"""),"Girardot")</f>
        <v>Girardot</v>
      </c>
    </row>
    <row r="7" ht="13.5" customHeight="1">
      <c r="A7" s="92" t="str">
        <f t="shared" ref="A7:B7" si="1">IF(COUNTBLANK(#REF!)&gt;0, "Faltan datos en Ubicacion", "")</f>
        <v/>
      </c>
      <c r="B7" s="92" t="str">
        <f t="shared" si="1"/>
        <v/>
      </c>
      <c r="C7" s="68"/>
      <c r="D7" s="67"/>
      <c r="E7" s="74"/>
      <c r="F7" s="66"/>
      <c r="G7" s="66"/>
      <c r="H7" s="66"/>
      <c r="I7" s="67"/>
      <c r="J7" s="75"/>
      <c r="K7" s="67"/>
      <c r="L7" s="67"/>
      <c r="M7" s="67"/>
      <c r="N7" s="69"/>
      <c r="O7" s="67"/>
      <c r="P7" s="69"/>
      <c r="Q7" s="67"/>
      <c r="R7" s="67"/>
      <c r="S7" s="67"/>
      <c r="T7" s="67"/>
      <c r="Y7" s="57" t="str">
        <f>IFERROR(__xludf.DUMMYFUNCTION("""COMPUTED_VALUE"""),"Girardot")</f>
        <v>Girardot</v>
      </c>
    </row>
    <row r="8" ht="13.5" customHeight="1">
      <c r="A8" s="92"/>
      <c r="B8" s="92" t="str">
        <f>IF(COUNTBLANK(C1:C4)&gt;0, "Faltan datos en Ubicacion", "")</f>
        <v/>
      </c>
      <c r="C8" s="68"/>
      <c r="D8" s="67"/>
      <c r="E8" s="66"/>
      <c r="F8" s="66"/>
      <c r="G8" s="66"/>
      <c r="H8" s="66"/>
      <c r="I8" s="67"/>
      <c r="J8" s="75"/>
      <c r="K8" s="67"/>
      <c r="L8" s="67"/>
      <c r="M8" s="67"/>
      <c r="N8" s="69"/>
      <c r="O8" s="67"/>
      <c r="P8" s="69"/>
      <c r="Q8" s="67"/>
      <c r="R8" s="67"/>
      <c r="S8" s="67"/>
      <c r="T8" s="67"/>
      <c r="Y8" s="57" t="str">
        <f>IFERROR(__xludf.DUMMYFUNCTION("""COMPUTED_VALUE"""),"Girardot")</f>
        <v>Girardot</v>
      </c>
    </row>
    <row r="9" ht="13.5" customHeight="1">
      <c r="A9" s="92" t="str">
        <f>IF(COUNTBLANK(B2:B6)&gt;0, "Faltan datos en Ubicacion", "")</f>
        <v/>
      </c>
      <c r="B9" s="65"/>
      <c r="C9" s="92"/>
      <c r="D9" s="67"/>
      <c r="E9" s="66"/>
      <c r="F9" s="66"/>
      <c r="G9" s="66"/>
      <c r="H9" s="66"/>
      <c r="I9" s="67"/>
      <c r="J9" s="67"/>
      <c r="K9" s="67"/>
      <c r="L9" s="67"/>
      <c r="M9" s="67"/>
      <c r="N9" s="69"/>
      <c r="O9" s="67"/>
      <c r="P9" s="69"/>
      <c r="Q9" s="67"/>
      <c r="R9" s="67"/>
      <c r="S9" s="67"/>
      <c r="T9" s="67"/>
      <c r="Y9" s="57" t="str">
        <f>IFERROR(__xludf.DUMMYFUNCTION("""COMPUTED_VALUE"""),"Girardot")</f>
        <v>Girardot</v>
      </c>
    </row>
    <row r="10" ht="13.5" customHeight="1">
      <c r="A10" s="97" t="s">
        <v>2894</v>
      </c>
      <c r="B10" s="65"/>
      <c r="C10" s="68"/>
      <c r="D10" s="67"/>
      <c r="E10" s="66"/>
      <c r="F10" s="66"/>
      <c r="G10" s="66"/>
      <c r="H10" s="66"/>
      <c r="I10" s="67"/>
      <c r="J10" s="68"/>
      <c r="K10" s="67"/>
      <c r="L10" s="67"/>
      <c r="M10" s="67"/>
      <c r="N10" s="69"/>
      <c r="O10" s="67"/>
      <c r="P10" s="69"/>
      <c r="Q10" s="67"/>
      <c r="R10" s="67"/>
      <c r="S10" s="67"/>
      <c r="T10" s="67"/>
      <c r="Y10" s="57" t="str">
        <f>IFERROR(__xludf.DUMMYFUNCTION("""COMPUTED_VALUE"""),"Girardot")</f>
        <v>Girardot</v>
      </c>
    </row>
    <row r="11" ht="13.5" customHeight="1">
      <c r="A11" s="124"/>
      <c r="B11" s="125"/>
      <c r="Y11" s="57" t="str">
        <f>IFERROR(__xludf.DUMMYFUNCTION("""COMPUTED_VALUE"""),"Girardot")</f>
        <v>Girardot</v>
      </c>
    </row>
    <row r="12" ht="13.5" customHeight="1">
      <c r="A12" s="124"/>
      <c r="B12" s="125"/>
      <c r="Y12" s="57" t="str">
        <f>IFERROR(__xludf.DUMMYFUNCTION("""COMPUTED_VALUE"""),"Girardot")</f>
        <v>Girardot</v>
      </c>
    </row>
    <row r="13" ht="13.5" customHeight="1">
      <c r="A13" s="124"/>
      <c r="B13" s="125"/>
      <c r="Y13" s="57" t="str">
        <f>IFERROR(__xludf.DUMMYFUNCTION("""COMPUTED_VALUE"""),"José Angel Lamas")</f>
        <v>José Angel Lamas</v>
      </c>
    </row>
    <row r="14" ht="13.5" customHeight="1">
      <c r="A14" s="124"/>
      <c r="B14" s="125"/>
      <c r="Y14" s="57" t="str">
        <f>IFERROR(__xludf.DUMMYFUNCTION("""COMPUTED_VALUE"""),"José Félix Ribas")</f>
        <v>José Félix Ribas</v>
      </c>
    </row>
    <row r="15" ht="13.5" customHeight="1">
      <c r="A15" s="124"/>
      <c r="B15" s="125"/>
      <c r="Y15" s="57" t="str">
        <f>IFERROR(__xludf.DUMMYFUNCTION("""COMPUTED_VALUE"""),"José Félix Ribas")</f>
        <v>José Félix Ribas</v>
      </c>
    </row>
    <row r="16" ht="13.5" customHeight="1">
      <c r="A16" s="124"/>
      <c r="B16" s="125"/>
      <c r="Y16" s="57" t="str">
        <f>IFERROR(__xludf.DUMMYFUNCTION("""COMPUTED_VALUE"""),"José Félix Ribas")</f>
        <v>José Félix Ribas</v>
      </c>
    </row>
    <row r="17" ht="13.5" customHeight="1">
      <c r="A17" s="124"/>
      <c r="B17" s="125"/>
      <c r="Y17" s="57" t="str">
        <f>IFERROR(__xludf.DUMMYFUNCTION("""COMPUTED_VALUE"""),"José Félix Ribas")</f>
        <v>José Félix Ribas</v>
      </c>
    </row>
    <row r="18" ht="13.5" customHeight="1">
      <c r="A18" s="124"/>
      <c r="B18" s="125"/>
      <c r="Y18" s="57" t="str">
        <f>IFERROR(__xludf.DUMMYFUNCTION("""COMPUTED_VALUE"""),"José Félix Ribas")</f>
        <v>José Félix Ribas</v>
      </c>
    </row>
    <row r="19" ht="13.5" customHeight="1">
      <c r="A19" s="124"/>
      <c r="B19" s="125"/>
      <c r="Y19" s="57" t="str">
        <f>IFERROR(__xludf.DUMMYFUNCTION("""COMPUTED_VALUE"""),"José Rafael Revenga")</f>
        <v>José Rafael Revenga</v>
      </c>
    </row>
    <row r="20" ht="13.5" customHeight="1">
      <c r="A20" s="124"/>
      <c r="B20" s="125"/>
      <c r="Y20" s="57" t="str">
        <f>IFERROR(__xludf.DUMMYFUNCTION("""COMPUTED_VALUE"""),"Libertador")</f>
        <v>Libertador</v>
      </c>
    </row>
    <row r="21" ht="13.5" customHeight="1">
      <c r="A21" s="124"/>
      <c r="B21" s="125"/>
      <c r="Y21" s="57" t="str">
        <f>IFERROR(__xludf.DUMMYFUNCTION("""COMPUTED_VALUE"""),"Libertador")</f>
        <v>Libertador</v>
      </c>
    </row>
    <row r="22" ht="13.5" customHeight="1">
      <c r="A22" s="124"/>
      <c r="B22" s="125"/>
      <c r="Y22" s="57" t="str">
        <f>IFERROR(__xludf.DUMMYFUNCTION("""COMPUTED_VALUE"""),"Mario Briceño Iragorry")</f>
        <v>Mario Briceño Iragorry</v>
      </c>
    </row>
    <row r="23" ht="13.5" customHeight="1">
      <c r="A23" s="124"/>
      <c r="B23" s="125"/>
      <c r="Y23" s="57" t="str">
        <f>IFERROR(__xludf.DUMMYFUNCTION("""COMPUTED_VALUE"""),"Mario Briceño Iragorry")</f>
        <v>Mario Briceño Iragorry</v>
      </c>
    </row>
    <row r="24" ht="13.5" customHeight="1">
      <c r="A24" s="124"/>
      <c r="B24" s="125"/>
      <c r="Y24" s="57" t="str">
        <f>IFERROR(__xludf.DUMMYFUNCTION("""COMPUTED_VALUE"""),"San Casimiro")</f>
        <v>San Casimiro</v>
      </c>
    </row>
    <row r="25" ht="13.5" customHeight="1">
      <c r="A25" s="124"/>
      <c r="B25" s="125"/>
      <c r="Y25" s="57" t="str">
        <f>IFERROR(__xludf.DUMMYFUNCTION("""COMPUTED_VALUE"""),"San Casimiro")</f>
        <v>San Casimiro</v>
      </c>
    </row>
    <row r="26" ht="13.5" customHeight="1">
      <c r="A26" s="124"/>
      <c r="B26" s="125"/>
      <c r="Y26" s="57" t="str">
        <f>IFERROR(__xludf.DUMMYFUNCTION("""COMPUTED_VALUE"""),"San Casimiro")</f>
        <v>San Casimiro</v>
      </c>
    </row>
    <row r="27" ht="13.5" customHeight="1">
      <c r="A27" s="124"/>
      <c r="B27" s="125"/>
      <c r="Y27" s="57" t="str">
        <f>IFERROR(__xludf.DUMMYFUNCTION("""COMPUTED_VALUE"""),"San Casimiro")</f>
        <v>San Casimiro</v>
      </c>
    </row>
    <row r="28" ht="13.5" customHeight="1">
      <c r="A28" s="124"/>
      <c r="B28" s="125"/>
      <c r="Y28" s="57" t="str">
        <f>IFERROR(__xludf.DUMMYFUNCTION("""COMPUTED_VALUE"""),"San Sebastián")</f>
        <v>San Sebastián</v>
      </c>
    </row>
    <row r="29" ht="13.5" customHeight="1">
      <c r="A29" s="124"/>
      <c r="B29" s="125"/>
      <c r="Y29" s="57" t="str">
        <f>IFERROR(__xludf.DUMMYFUNCTION("""COMPUTED_VALUE"""),"Santiago Mariño")</f>
        <v>Santiago Mariño</v>
      </c>
    </row>
    <row r="30" ht="13.5" customHeight="1">
      <c r="A30" s="124"/>
      <c r="B30" s="125"/>
      <c r="Y30" s="57" t="str">
        <f>IFERROR(__xludf.DUMMYFUNCTION("""COMPUTED_VALUE"""),"Santiago Mariño")</f>
        <v>Santiago Mariño</v>
      </c>
    </row>
    <row r="31" ht="13.5" customHeight="1">
      <c r="A31" s="124"/>
      <c r="B31" s="125"/>
      <c r="Y31" s="57" t="str">
        <f>IFERROR(__xludf.DUMMYFUNCTION("""COMPUTED_VALUE"""),"Santiago Mariño")</f>
        <v>Santiago Mariño</v>
      </c>
    </row>
    <row r="32" ht="13.5" customHeight="1">
      <c r="A32" s="124"/>
      <c r="B32" s="125"/>
      <c r="Y32" s="57" t="str">
        <f>IFERROR(__xludf.DUMMYFUNCTION("""COMPUTED_VALUE"""),"Santiago Mariño")</f>
        <v>Santiago Mariño</v>
      </c>
    </row>
    <row r="33" ht="13.5" customHeight="1">
      <c r="A33" s="124"/>
      <c r="B33" s="125"/>
      <c r="Y33" s="57" t="str">
        <f>IFERROR(__xludf.DUMMYFUNCTION("""COMPUTED_VALUE"""),"Santiago Mariño")</f>
        <v>Santiago Mariño</v>
      </c>
    </row>
    <row r="34" ht="13.5" customHeight="1">
      <c r="A34" s="124"/>
      <c r="B34" s="125"/>
      <c r="Y34" s="57" t="str">
        <f>IFERROR(__xludf.DUMMYFUNCTION("""COMPUTED_VALUE"""),"Santos Michelena")</f>
        <v>Santos Michelena</v>
      </c>
    </row>
    <row r="35" ht="13.5" customHeight="1">
      <c r="A35" s="124"/>
      <c r="B35" s="125"/>
      <c r="Y35" s="57" t="str">
        <f>IFERROR(__xludf.DUMMYFUNCTION("""COMPUTED_VALUE"""),"Santos Michelena")</f>
        <v>Santos Michelena</v>
      </c>
    </row>
    <row r="36" ht="13.5" customHeight="1">
      <c r="A36" s="124"/>
      <c r="B36" s="125"/>
      <c r="Y36" s="57" t="str">
        <f>IFERROR(__xludf.DUMMYFUNCTION("""COMPUTED_VALUE"""),"Sucre")</f>
        <v>Sucre</v>
      </c>
    </row>
    <row r="37" ht="13.5" customHeight="1">
      <c r="A37" s="124"/>
      <c r="B37" s="125"/>
      <c r="Y37" s="57" t="str">
        <f>IFERROR(__xludf.DUMMYFUNCTION("""COMPUTED_VALUE"""),"Sucre")</f>
        <v>Sucre</v>
      </c>
    </row>
    <row r="38" ht="13.5" customHeight="1">
      <c r="A38" s="124"/>
      <c r="B38" s="125"/>
      <c r="Y38" s="57" t="str">
        <f>IFERROR(__xludf.DUMMYFUNCTION("""COMPUTED_VALUE"""),"Tovar")</f>
        <v>Tovar</v>
      </c>
    </row>
    <row r="39" ht="13.5" customHeight="1">
      <c r="A39" s="124"/>
      <c r="B39" s="125"/>
      <c r="Y39" s="57" t="str">
        <f>IFERROR(__xludf.DUMMYFUNCTION("""COMPUTED_VALUE"""),"Urdaneta")</f>
        <v>Urdaneta</v>
      </c>
    </row>
    <row r="40" ht="13.5" customHeight="1">
      <c r="A40" s="124"/>
      <c r="B40" s="125"/>
      <c r="Y40" s="57" t="str">
        <f>IFERROR(__xludf.DUMMYFUNCTION("""COMPUTED_VALUE"""),"Urdaneta")</f>
        <v>Urdaneta</v>
      </c>
    </row>
    <row r="41" ht="13.5" customHeight="1">
      <c r="A41" s="124"/>
      <c r="B41" s="125"/>
      <c r="Y41" s="57" t="str">
        <f>IFERROR(__xludf.DUMMYFUNCTION("""COMPUTED_VALUE"""),"Urdaneta")</f>
        <v>Urdaneta</v>
      </c>
    </row>
    <row r="42" ht="13.5" customHeight="1">
      <c r="A42" s="124"/>
      <c r="B42" s="125"/>
      <c r="Y42" s="57" t="str">
        <f>IFERROR(__xludf.DUMMYFUNCTION("""COMPUTED_VALUE"""),"Urdaneta")</f>
        <v>Urdaneta</v>
      </c>
    </row>
    <row r="43" ht="13.5" customHeight="1">
      <c r="A43" s="124"/>
      <c r="B43" s="125"/>
      <c r="Y43" s="57" t="str">
        <f>IFERROR(__xludf.DUMMYFUNCTION("""COMPUTED_VALUE"""),"Zamora")</f>
        <v>Zamora</v>
      </c>
    </row>
    <row r="44" ht="13.5" customHeight="1">
      <c r="A44" s="124"/>
      <c r="B44" s="125"/>
      <c r="Y44" s="57" t="str">
        <f>IFERROR(__xludf.DUMMYFUNCTION("""COMPUTED_VALUE"""),"Zamora")</f>
        <v>Zamora</v>
      </c>
    </row>
    <row r="45" ht="13.5" customHeight="1">
      <c r="A45" s="124"/>
      <c r="B45" s="125"/>
      <c r="Y45" s="57" t="str">
        <f>IFERROR(__xludf.DUMMYFUNCTION("""COMPUTED_VALUE"""),"Zamora")</f>
        <v>Zamora</v>
      </c>
    </row>
    <row r="46" ht="13.5" customHeight="1">
      <c r="A46" s="124"/>
      <c r="B46" s="125"/>
      <c r="Y46" s="57" t="str">
        <f>IFERROR(__xludf.DUMMYFUNCTION("""COMPUTED_VALUE"""),"Zamora")</f>
        <v>Zamora</v>
      </c>
    </row>
    <row r="47" ht="13.5" customHeight="1">
      <c r="A47" s="124"/>
      <c r="B47" s="125"/>
      <c r="Y47" s="57" t="str">
        <f>IFERROR(__xludf.DUMMYFUNCTION("""COMPUTED_VALUE"""),"Zamora")</f>
        <v>Zamora</v>
      </c>
    </row>
    <row r="48" ht="13.5" customHeight="1">
      <c r="A48" s="124"/>
      <c r="B48" s="125"/>
      <c r="Y48" s="57" t="str">
        <f>IFERROR(__xludf.DUMMYFUNCTION("""COMPUTED_VALUE"""),"Francisco Linares Alcantara")</f>
        <v>Francisco Linares Alcantara</v>
      </c>
    </row>
    <row r="49" ht="13.5" customHeight="1">
      <c r="A49" s="124"/>
      <c r="B49" s="125"/>
      <c r="Y49" s="57" t="str">
        <f>IFERROR(__xludf.DUMMYFUNCTION("""COMPUTED_VALUE"""),"Francisco Linares Alcantara")</f>
        <v>Francisco Linares Alcantara</v>
      </c>
    </row>
    <row r="50" ht="13.5" customHeight="1">
      <c r="A50" s="124"/>
      <c r="B50" s="125"/>
      <c r="Y50" s="57" t="str">
        <f>IFERROR(__xludf.DUMMYFUNCTION("""COMPUTED_VALUE"""),"Francisco Linares Alcantara")</f>
        <v>Francisco Linares Alcantara</v>
      </c>
    </row>
    <row r="51" ht="13.5" customHeight="1">
      <c r="A51" s="124"/>
      <c r="B51" s="125"/>
      <c r="Y51" s="57" t="str">
        <f>IFERROR(__xludf.DUMMYFUNCTION("""COMPUTED_VALUE"""),"Ocumare De La Costa De Oro")</f>
        <v>Ocumare De La Costa De Oro</v>
      </c>
    </row>
    <row r="52" ht="13.5" customHeight="1">
      <c r="A52" s="124"/>
      <c r="B52" s="125"/>
    </row>
    <row r="53" ht="13.5" customHeight="1">
      <c r="A53" s="124"/>
      <c r="B53" s="125"/>
    </row>
    <row r="54" ht="13.5" customHeight="1">
      <c r="A54" s="124"/>
      <c r="B54" s="125"/>
    </row>
    <row r="55" ht="13.5" customHeight="1">
      <c r="A55" s="124"/>
      <c r="B55" s="125"/>
    </row>
    <row r="56" ht="13.5" customHeight="1">
      <c r="A56" s="124"/>
      <c r="B56" s="125"/>
    </row>
    <row r="57" ht="13.5" customHeight="1">
      <c r="A57" s="124"/>
      <c r="B57" s="125"/>
    </row>
    <row r="58" ht="13.5" customHeight="1">
      <c r="A58" s="124"/>
      <c r="B58" s="125"/>
    </row>
    <row r="59" ht="13.5" customHeight="1">
      <c r="A59" s="124"/>
      <c r="B59" s="125"/>
    </row>
    <row r="60" ht="13.5" customHeight="1">
      <c r="A60" s="124"/>
      <c r="B60" s="125"/>
    </row>
    <row r="61" ht="13.5" customHeight="1">
      <c r="A61" s="124"/>
      <c r="B61" s="125"/>
    </row>
    <row r="62" ht="13.5" customHeight="1">
      <c r="A62" s="124"/>
      <c r="B62" s="125"/>
    </row>
    <row r="63" ht="13.5" customHeight="1">
      <c r="A63" s="124"/>
      <c r="B63" s="125"/>
    </row>
    <row r="64" ht="13.5" customHeight="1">
      <c r="A64" s="124"/>
      <c r="B64" s="125"/>
    </row>
    <row r="65" ht="13.5" customHeight="1">
      <c r="A65" s="124"/>
      <c r="B65" s="125"/>
    </row>
    <row r="66" ht="13.5" customHeight="1">
      <c r="A66" s="124"/>
      <c r="B66" s="125"/>
    </row>
    <row r="67" ht="13.5" customHeight="1">
      <c r="A67" s="124"/>
      <c r="B67" s="125"/>
    </row>
    <row r="68" ht="13.5" customHeight="1">
      <c r="A68" s="124"/>
      <c r="B68" s="125"/>
    </row>
    <row r="69" ht="13.5" customHeight="1">
      <c r="A69" s="124"/>
      <c r="B69" s="125"/>
    </row>
    <row r="70" ht="13.5" customHeight="1">
      <c r="A70" s="124"/>
      <c r="B70" s="125"/>
    </row>
    <row r="71" ht="13.5" customHeight="1">
      <c r="A71" s="124"/>
      <c r="B71" s="125"/>
    </row>
    <row r="72" ht="13.5" customHeight="1">
      <c r="A72" s="124"/>
      <c r="B72" s="125"/>
    </row>
    <row r="73" ht="13.5" customHeight="1">
      <c r="A73" s="124"/>
      <c r="B73" s="125"/>
    </row>
    <row r="74" ht="13.5" customHeight="1">
      <c r="A74" s="124"/>
      <c r="B74" s="125"/>
    </row>
    <row r="75" ht="13.5" customHeight="1">
      <c r="A75" s="124"/>
      <c r="B75" s="125"/>
    </row>
    <row r="76" ht="13.5" customHeight="1">
      <c r="A76" s="124"/>
      <c r="B76" s="125"/>
    </row>
    <row r="77" ht="13.5" customHeight="1">
      <c r="A77" s="124"/>
      <c r="B77" s="125"/>
    </row>
    <row r="78" ht="13.5" customHeight="1">
      <c r="A78" s="124"/>
      <c r="B78" s="125"/>
    </row>
    <row r="79" ht="13.5" customHeight="1">
      <c r="A79" s="124"/>
      <c r="B79" s="125"/>
    </row>
    <row r="80" ht="13.5" customHeight="1">
      <c r="A80" s="124"/>
      <c r="B80" s="125"/>
    </row>
    <row r="81" ht="13.5" customHeight="1">
      <c r="A81" s="124"/>
      <c r="B81" s="125"/>
    </row>
    <row r="82" ht="13.5" customHeight="1">
      <c r="A82" s="124"/>
      <c r="B82" s="125"/>
    </row>
    <row r="83" ht="13.5" customHeight="1">
      <c r="A83" s="124"/>
      <c r="B83" s="125"/>
    </row>
    <row r="84" ht="13.5" customHeight="1">
      <c r="A84" s="124"/>
      <c r="B84" s="125"/>
    </row>
    <row r="85" ht="13.5" customHeight="1">
      <c r="A85" s="124"/>
      <c r="B85" s="125"/>
    </row>
    <row r="86" ht="13.5" customHeight="1">
      <c r="A86" s="124"/>
      <c r="B86" s="125"/>
    </row>
    <row r="87" ht="13.5" customHeight="1">
      <c r="A87" s="124"/>
      <c r="B87" s="125"/>
    </row>
    <row r="88" ht="13.5" customHeight="1">
      <c r="A88" s="124"/>
      <c r="B88" s="125"/>
    </row>
    <row r="89" ht="13.5" customHeight="1">
      <c r="A89" s="124"/>
      <c r="B89" s="125"/>
    </row>
    <row r="90" ht="13.5" customHeight="1">
      <c r="A90" s="124"/>
      <c r="B90" s="125"/>
    </row>
    <row r="91" ht="13.5" customHeight="1">
      <c r="A91" s="124"/>
      <c r="B91" s="125"/>
    </row>
    <row r="92" ht="13.5" customHeight="1">
      <c r="A92" s="124"/>
      <c r="B92" s="125"/>
    </row>
    <row r="93" ht="13.5" customHeight="1">
      <c r="A93" s="124"/>
      <c r="B93" s="125"/>
    </row>
    <row r="94" ht="13.5" customHeight="1">
      <c r="A94" s="124"/>
      <c r="B94" s="125"/>
    </row>
    <row r="95" ht="13.5" customHeight="1">
      <c r="A95" s="124"/>
      <c r="B95" s="125"/>
    </row>
    <row r="96" ht="13.5" customHeight="1">
      <c r="A96" s="124"/>
      <c r="B96" s="125"/>
    </row>
    <row r="97" ht="13.5" customHeight="1">
      <c r="A97" s="124"/>
      <c r="B97" s="125"/>
    </row>
    <row r="98" ht="13.5" customHeight="1">
      <c r="A98" s="124"/>
      <c r="B98" s="125"/>
    </row>
    <row r="99" ht="13.5" customHeight="1">
      <c r="A99" s="124"/>
      <c r="B99" s="125"/>
    </row>
    <row r="100" ht="13.5" customHeight="1">
      <c r="A100" s="124"/>
      <c r="B100" s="125"/>
    </row>
    <row r="101" ht="13.5" customHeight="1">
      <c r="A101" s="124"/>
      <c r="B101" s="125"/>
    </row>
    <row r="102" ht="13.5" customHeight="1">
      <c r="A102" s="124"/>
      <c r="B102" s="125"/>
    </row>
    <row r="103" ht="13.5" customHeight="1">
      <c r="A103" s="124"/>
      <c r="B103" s="125"/>
    </row>
    <row r="104" ht="13.5" customHeight="1">
      <c r="A104" s="124"/>
      <c r="B104" s="125"/>
    </row>
    <row r="105" ht="13.5" customHeight="1">
      <c r="A105" s="124"/>
      <c r="B105" s="125"/>
    </row>
    <row r="106" ht="13.5" customHeight="1">
      <c r="A106" s="124"/>
      <c r="B106" s="125"/>
    </row>
    <row r="107" ht="13.5" customHeight="1">
      <c r="A107" s="124"/>
      <c r="B107" s="125"/>
    </row>
    <row r="108" ht="13.5" customHeight="1">
      <c r="A108" s="124"/>
      <c r="B108" s="125"/>
    </row>
    <row r="109" ht="13.5" customHeight="1">
      <c r="A109" s="124"/>
      <c r="B109" s="125"/>
    </row>
    <row r="110" ht="13.5" customHeight="1">
      <c r="A110" s="124"/>
      <c r="B110" s="125"/>
    </row>
    <row r="111" ht="13.5" customHeight="1">
      <c r="A111" s="124"/>
      <c r="B111" s="125"/>
    </row>
    <row r="112" ht="13.5" customHeight="1">
      <c r="A112" s="124"/>
      <c r="B112" s="125"/>
    </row>
    <row r="113" ht="13.5" customHeight="1">
      <c r="A113" s="124"/>
      <c r="B113" s="125"/>
    </row>
    <row r="114" ht="13.5" customHeight="1">
      <c r="A114" s="124"/>
      <c r="B114" s="125"/>
    </row>
    <row r="115" ht="13.5" customHeight="1">
      <c r="A115" s="124"/>
      <c r="B115" s="125"/>
    </row>
    <row r="116" ht="13.5" customHeight="1">
      <c r="A116" s="124"/>
      <c r="B116" s="125"/>
    </row>
    <row r="117" ht="13.5" customHeight="1">
      <c r="A117" s="124"/>
      <c r="B117" s="125"/>
    </row>
    <row r="118" ht="13.5" customHeight="1">
      <c r="A118" s="124"/>
      <c r="B118" s="125"/>
    </row>
    <row r="119" ht="13.5" customHeight="1">
      <c r="A119" s="124"/>
      <c r="B119" s="125"/>
    </row>
    <row r="120" ht="13.5" customHeight="1">
      <c r="A120" s="124"/>
      <c r="B120" s="125"/>
    </row>
    <row r="121" ht="13.5" customHeight="1">
      <c r="A121" s="124"/>
      <c r="B121" s="125"/>
    </row>
    <row r="122" ht="13.5" customHeight="1">
      <c r="A122" s="124"/>
      <c r="B122" s="125"/>
    </row>
    <row r="123" ht="13.5" customHeight="1">
      <c r="A123" s="124"/>
      <c r="B123" s="125"/>
    </row>
    <row r="124" ht="13.5" customHeight="1">
      <c r="A124" s="124"/>
      <c r="B124" s="125"/>
    </row>
    <row r="125" ht="13.5" customHeight="1">
      <c r="A125" s="124"/>
      <c r="B125" s="125"/>
    </row>
    <row r="126" ht="13.5" customHeight="1">
      <c r="A126" s="124"/>
      <c r="B126" s="125"/>
    </row>
    <row r="127" ht="13.5" customHeight="1">
      <c r="A127" s="124"/>
      <c r="B127" s="125"/>
    </row>
    <row r="128" ht="13.5" customHeight="1">
      <c r="A128" s="124"/>
      <c r="B128" s="125"/>
    </row>
    <row r="129" ht="13.5" customHeight="1">
      <c r="A129" s="124"/>
      <c r="B129" s="125"/>
    </row>
    <row r="130" ht="13.5" customHeight="1">
      <c r="A130" s="124"/>
      <c r="B130" s="125"/>
    </row>
    <row r="131" ht="13.5" customHeight="1">
      <c r="A131" s="124"/>
      <c r="B131" s="125"/>
    </row>
    <row r="132" ht="13.5" customHeight="1">
      <c r="A132" s="124"/>
      <c r="B132" s="125"/>
    </row>
    <row r="133" ht="13.5" customHeight="1">
      <c r="A133" s="124"/>
      <c r="B133" s="125"/>
    </row>
    <row r="134" ht="13.5" customHeight="1">
      <c r="A134" s="124"/>
      <c r="B134" s="125"/>
    </row>
    <row r="135" ht="13.5" customHeight="1">
      <c r="A135" s="124"/>
      <c r="B135" s="125"/>
    </row>
    <row r="136" ht="13.5" customHeight="1">
      <c r="A136" s="124"/>
      <c r="B136" s="125"/>
    </row>
    <row r="137" ht="13.5" customHeight="1">
      <c r="A137" s="124"/>
      <c r="B137" s="125"/>
    </row>
    <row r="138" ht="13.5" customHeight="1">
      <c r="A138" s="124"/>
      <c r="B138" s="125"/>
    </row>
    <row r="139" ht="13.5" customHeight="1">
      <c r="A139" s="124"/>
      <c r="B139" s="125"/>
    </row>
    <row r="140" ht="13.5" customHeight="1">
      <c r="A140" s="124"/>
      <c r="B140" s="125"/>
    </row>
    <row r="141" ht="13.5" customHeight="1">
      <c r="A141" s="124"/>
      <c r="B141" s="125"/>
    </row>
    <row r="142" ht="13.5" customHeight="1">
      <c r="A142" s="124"/>
      <c r="B142" s="125"/>
    </row>
    <row r="143" ht="13.5" customHeight="1">
      <c r="A143" s="124"/>
      <c r="B143" s="125"/>
    </row>
    <row r="144" ht="13.5" customHeight="1">
      <c r="A144" s="124"/>
      <c r="B144" s="125"/>
    </row>
    <row r="145" ht="13.5" customHeight="1">
      <c r="A145" s="124"/>
      <c r="B145" s="125"/>
    </row>
    <row r="146" ht="13.5" customHeight="1">
      <c r="A146" s="124"/>
      <c r="B146" s="125"/>
    </row>
    <row r="147" ht="13.5" customHeight="1">
      <c r="A147" s="124"/>
      <c r="B147" s="125"/>
    </row>
    <row r="148" ht="13.5" customHeight="1">
      <c r="A148" s="124"/>
      <c r="B148" s="125"/>
    </row>
    <row r="149" ht="13.5" customHeight="1">
      <c r="A149" s="124"/>
      <c r="B149" s="125"/>
    </row>
    <row r="150" ht="13.5" customHeight="1">
      <c r="A150" s="124"/>
      <c r="B150" s="125"/>
    </row>
    <row r="151" ht="13.5" customHeight="1">
      <c r="A151" s="124"/>
      <c r="B151" s="125"/>
    </row>
    <row r="152" ht="13.5" customHeight="1">
      <c r="A152" s="124"/>
      <c r="B152" s="125"/>
    </row>
    <row r="153" ht="13.5" customHeight="1">
      <c r="A153" s="124"/>
      <c r="B153" s="125"/>
    </row>
    <row r="154" ht="13.5" customHeight="1">
      <c r="A154" s="124"/>
      <c r="B154" s="125"/>
    </row>
    <row r="155" ht="13.5" customHeight="1">
      <c r="A155" s="124"/>
      <c r="B155" s="125"/>
    </row>
    <row r="156" ht="13.5" customHeight="1">
      <c r="A156" s="124"/>
      <c r="B156" s="125"/>
    </row>
    <row r="157" ht="13.5" customHeight="1">
      <c r="A157" s="124"/>
      <c r="B157" s="125"/>
    </row>
    <row r="158" ht="13.5" customHeight="1">
      <c r="A158" s="124"/>
      <c r="B158" s="125"/>
    </row>
    <row r="159" ht="13.5" customHeight="1">
      <c r="A159" s="124"/>
      <c r="B159" s="125"/>
    </row>
    <row r="160" ht="13.5" customHeight="1">
      <c r="A160" s="124"/>
      <c r="B160" s="125"/>
    </row>
    <row r="161" ht="13.5" customHeight="1">
      <c r="A161" s="124"/>
      <c r="B161" s="125"/>
    </row>
    <row r="162" ht="13.5" customHeight="1">
      <c r="A162" s="124"/>
      <c r="B162" s="125"/>
    </row>
    <row r="163" ht="13.5" customHeight="1">
      <c r="A163" s="124"/>
      <c r="B163" s="125"/>
    </row>
    <row r="164" ht="13.5" customHeight="1">
      <c r="A164" s="124"/>
      <c r="B164" s="125"/>
    </row>
    <row r="165" ht="13.5" customHeight="1">
      <c r="A165" s="124"/>
      <c r="B165" s="125"/>
    </row>
    <row r="166" ht="13.5" customHeight="1">
      <c r="A166" s="124"/>
      <c r="B166" s="125"/>
    </row>
    <row r="167" ht="13.5" customHeight="1">
      <c r="A167" s="124"/>
      <c r="B167" s="125"/>
    </row>
    <row r="168" ht="13.5" customHeight="1">
      <c r="A168" s="124"/>
      <c r="B168" s="125"/>
    </row>
    <row r="169" ht="13.5" customHeight="1">
      <c r="A169" s="124"/>
      <c r="B169" s="125"/>
    </row>
    <row r="170" ht="13.5" customHeight="1">
      <c r="A170" s="124"/>
      <c r="B170" s="125"/>
    </row>
    <row r="171" ht="13.5" customHeight="1">
      <c r="A171" s="124"/>
      <c r="B171" s="125"/>
    </row>
    <row r="172" ht="13.5" customHeight="1">
      <c r="A172" s="124"/>
      <c r="B172" s="125"/>
    </row>
    <row r="173" ht="13.5" customHeight="1">
      <c r="A173" s="124"/>
      <c r="B173" s="125"/>
    </row>
    <row r="174" ht="13.5" customHeight="1">
      <c r="A174" s="124"/>
      <c r="B174" s="125"/>
    </row>
    <row r="175" ht="13.5" customHeight="1">
      <c r="A175" s="124"/>
      <c r="B175" s="125"/>
    </row>
    <row r="176" ht="13.5" customHeight="1">
      <c r="A176" s="124"/>
      <c r="B176" s="125"/>
    </row>
    <row r="177" ht="13.5" customHeight="1">
      <c r="A177" s="124"/>
      <c r="B177" s="125"/>
    </row>
    <row r="178" ht="13.5" customHeight="1">
      <c r="A178" s="124"/>
      <c r="B178" s="125"/>
    </row>
    <row r="179" ht="13.5" customHeight="1">
      <c r="A179" s="124"/>
      <c r="B179" s="125"/>
    </row>
    <row r="180" ht="13.5" customHeight="1">
      <c r="A180" s="124"/>
      <c r="B180" s="125"/>
    </row>
    <row r="181" ht="13.5" customHeight="1">
      <c r="A181" s="124"/>
      <c r="B181" s="125"/>
    </row>
    <row r="182" ht="13.5" customHeight="1">
      <c r="A182" s="124"/>
      <c r="B182" s="125"/>
    </row>
    <row r="183" ht="13.5" customHeight="1">
      <c r="A183" s="124"/>
      <c r="B183" s="125"/>
    </row>
    <row r="184" ht="13.5" customHeight="1">
      <c r="A184" s="124"/>
      <c r="B184" s="125"/>
    </row>
    <row r="185" ht="13.5" customHeight="1">
      <c r="A185" s="124"/>
      <c r="B185" s="125"/>
    </row>
    <row r="186" ht="13.5" customHeight="1">
      <c r="A186" s="124"/>
      <c r="B186" s="125"/>
    </row>
    <row r="187" ht="13.5" customHeight="1">
      <c r="A187" s="124"/>
      <c r="B187" s="125"/>
    </row>
    <row r="188" ht="13.5" customHeight="1">
      <c r="A188" s="124"/>
      <c r="B188" s="125"/>
    </row>
    <row r="189" ht="13.5" customHeight="1">
      <c r="A189" s="124"/>
      <c r="B189" s="125"/>
    </row>
    <row r="190" ht="13.5" customHeight="1">
      <c r="A190" s="124"/>
      <c r="B190" s="125"/>
    </row>
    <row r="191" ht="13.5" customHeight="1">
      <c r="A191" s="124"/>
      <c r="B191" s="125"/>
    </row>
    <row r="192" ht="13.5" customHeight="1">
      <c r="A192" s="124"/>
      <c r="B192" s="125"/>
    </row>
    <row r="193" ht="13.5" customHeight="1">
      <c r="A193" s="124"/>
      <c r="B193" s="125"/>
    </row>
    <row r="194" ht="13.5" customHeight="1">
      <c r="A194" s="124"/>
      <c r="B194" s="125"/>
    </row>
    <row r="195" ht="13.5" customHeight="1">
      <c r="A195" s="124"/>
      <c r="B195" s="125"/>
    </row>
    <row r="196" ht="13.5" customHeight="1">
      <c r="A196" s="124"/>
      <c r="B196" s="125"/>
    </row>
    <row r="197" ht="13.5" customHeight="1">
      <c r="A197" s="124"/>
      <c r="B197" s="125"/>
    </row>
    <row r="198" ht="13.5" customHeight="1">
      <c r="A198" s="124"/>
      <c r="B198" s="125"/>
    </row>
    <row r="199" ht="13.5" customHeight="1">
      <c r="A199" s="124"/>
      <c r="B199" s="125"/>
    </row>
    <row r="200" ht="13.5" customHeight="1">
      <c r="A200" s="124"/>
      <c r="B200" s="125"/>
    </row>
    <row r="201" ht="13.5" customHeight="1">
      <c r="A201" s="124"/>
      <c r="B201" s="125"/>
    </row>
    <row r="202" ht="13.5" customHeight="1">
      <c r="A202" s="124"/>
      <c r="B202" s="125"/>
    </row>
    <row r="203" ht="13.5" customHeight="1">
      <c r="A203" s="124"/>
      <c r="B203" s="125"/>
    </row>
    <row r="204" ht="13.5" customHeight="1">
      <c r="A204" s="124"/>
      <c r="B204" s="125"/>
    </row>
    <row r="205" ht="13.5" customHeight="1">
      <c r="A205" s="124"/>
      <c r="B205" s="125"/>
    </row>
    <row r="206" ht="13.5" customHeight="1">
      <c r="A206" s="124"/>
      <c r="B206" s="125"/>
    </row>
    <row r="207" ht="13.5" customHeight="1">
      <c r="A207" s="124"/>
      <c r="B207" s="125"/>
    </row>
    <row r="208" ht="13.5" customHeight="1">
      <c r="A208" s="124"/>
      <c r="B208" s="125"/>
    </row>
    <row r="209" ht="13.5" customHeight="1">
      <c r="A209" s="124"/>
      <c r="B209" s="125"/>
    </row>
    <row r="210" ht="13.5" customHeight="1">
      <c r="A210" s="124"/>
      <c r="B210" s="125"/>
    </row>
    <row r="211" ht="13.5" customHeight="1">
      <c r="A211" s="124"/>
      <c r="B211" s="125"/>
    </row>
    <row r="212" ht="13.5" customHeight="1">
      <c r="A212" s="124"/>
      <c r="B212" s="125"/>
    </row>
    <row r="213" ht="13.5" customHeight="1">
      <c r="A213" s="124"/>
      <c r="B213" s="125"/>
    </row>
    <row r="214" ht="13.5" customHeight="1">
      <c r="A214" s="124"/>
      <c r="B214" s="125"/>
    </row>
    <row r="215" ht="13.5" customHeight="1">
      <c r="A215" s="124"/>
      <c r="B215" s="125"/>
    </row>
    <row r="216" ht="13.5" customHeight="1">
      <c r="A216" s="124"/>
      <c r="B216" s="125"/>
    </row>
    <row r="217" ht="13.5" customHeight="1">
      <c r="A217" s="124"/>
      <c r="B217" s="125"/>
    </row>
    <row r="218" ht="13.5" customHeight="1">
      <c r="A218" s="124"/>
      <c r="B218" s="125"/>
    </row>
    <row r="219" ht="13.5" customHeight="1">
      <c r="A219" s="124"/>
      <c r="B219" s="125"/>
    </row>
    <row r="220" ht="13.5" customHeight="1">
      <c r="A220" s="124"/>
      <c r="B220" s="125"/>
    </row>
    <row r="221" ht="13.5" customHeight="1">
      <c r="A221" s="124"/>
      <c r="B221" s="125"/>
    </row>
    <row r="222" ht="13.5" customHeight="1">
      <c r="A222" s="124"/>
      <c r="B222" s="125"/>
    </row>
    <row r="223" ht="13.5" customHeight="1">
      <c r="A223" s="124"/>
      <c r="B223" s="125"/>
    </row>
    <row r="224" ht="13.5" customHeight="1">
      <c r="A224" s="124"/>
      <c r="B224" s="125"/>
    </row>
    <row r="225" ht="13.5" customHeight="1">
      <c r="A225" s="124"/>
      <c r="B225" s="125"/>
    </row>
    <row r="226" ht="13.5" customHeight="1">
      <c r="A226" s="124"/>
      <c r="B226" s="125"/>
    </row>
    <row r="227" ht="13.5" customHeight="1">
      <c r="A227" s="124"/>
      <c r="B227" s="125"/>
    </row>
    <row r="228" ht="13.5" customHeight="1">
      <c r="A228" s="124"/>
      <c r="B228" s="125"/>
    </row>
    <row r="229" ht="13.5" customHeight="1">
      <c r="A229" s="124"/>
      <c r="B229" s="125"/>
    </row>
    <row r="230" ht="13.5" customHeight="1">
      <c r="A230" s="124"/>
      <c r="B230" s="125"/>
    </row>
    <row r="231" ht="13.5" customHeight="1">
      <c r="A231" s="124"/>
      <c r="B231" s="125"/>
    </row>
    <row r="232" ht="13.5" customHeight="1">
      <c r="A232" s="124"/>
      <c r="B232" s="125"/>
    </row>
    <row r="233" ht="13.5" customHeight="1">
      <c r="A233" s="124"/>
      <c r="B233" s="125"/>
    </row>
    <row r="234" ht="13.5" customHeight="1">
      <c r="A234" s="124"/>
      <c r="B234" s="125"/>
    </row>
    <row r="235" ht="13.5" customHeight="1">
      <c r="A235" s="124"/>
      <c r="B235" s="125"/>
    </row>
    <row r="236" ht="13.5" customHeight="1">
      <c r="A236" s="124"/>
      <c r="B236" s="125"/>
    </row>
    <row r="237" ht="13.5" customHeight="1">
      <c r="A237" s="124"/>
      <c r="B237" s="125"/>
    </row>
    <row r="238" ht="13.5" customHeight="1">
      <c r="A238" s="124"/>
      <c r="B238" s="125"/>
    </row>
    <row r="239" ht="13.5" customHeight="1">
      <c r="A239" s="124"/>
      <c r="B239" s="125"/>
    </row>
    <row r="240" ht="13.5" customHeight="1">
      <c r="A240" s="124"/>
      <c r="B240" s="125"/>
    </row>
    <row r="241" ht="13.5" customHeight="1">
      <c r="A241" s="124"/>
      <c r="B241" s="125"/>
    </row>
    <row r="242" ht="13.5" customHeight="1">
      <c r="A242" s="124"/>
      <c r="B242" s="125"/>
    </row>
    <row r="243" ht="13.5" customHeight="1">
      <c r="A243" s="124"/>
      <c r="B243" s="125"/>
    </row>
    <row r="244" ht="13.5" customHeight="1">
      <c r="A244" s="124"/>
      <c r="B244" s="125"/>
    </row>
    <row r="245" ht="13.5" customHeight="1">
      <c r="A245" s="124"/>
      <c r="B245" s="125"/>
    </row>
    <row r="246" ht="13.5" customHeight="1">
      <c r="A246" s="124"/>
      <c r="B246" s="125"/>
    </row>
    <row r="247" ht="13.5" customHeight="1">
      <c r="A247" s="124"/>
      <c r="B247" s="125"/>
    </row>
    <row r="248" ht="13.5" customHeight="1">
      <c r="A248" s="124"/>
      <c r="B248" s="125"/>
    </row>
    <row r="249" ht="13.5" customHeight="1">
      <c r="A249" s="124"/>
      <c r="B249" s="125"/>
    </row>
    <row r="250" ht="13.5" customHeight="1">
      <c r="A250" s="124"/>
      <c r="B250" s="125"/>
    </row>
    <row r="251" ht="13.5" customHeight="1">
      <c r="A251" s="124"/>
      <c r="B251" s="125"/>
    </row>
    <row r="252" ht="13.5" customHeight="1">
      <c r="A252" s="124"/>
      <c r="B252" s="125"/>
    </row>
    <row r="253" ht="13.5" customHeight="1">
      <c r="A253" s="124"/>
      <c r="B253" s="125"/>
    </row>
    <row r="254" ht="13.5" customHeight="1">
      <c r="A254" s="124"/>
      <c r="B254" s="125"/>
    </row>
    <row r="255" ht="13.5" customHeight="1">
      <c r="A255" s="124"/>
      <c r="B255" s="125"/>
    </row>
    <row r="256" ht="13.5" customHeight="1">
      <c r="A256" s="124"/>
      <c r="B256" s="125"/>
    </row>
    <row r="257" ht="13.5" customHeight="1">
      <c r="A257" s="124"/>
      <c r="B257" s="125"/>
    </row>
    <row r="258" ht="13.5" customHeight="1">
      <c r="A258" s="124"/>
      <c r="B258" s="125"/>
    </row>
    <row r="259" ht="13.5" customHeight="1">
      <c r="A259" s="124"/>
      <c r="B259" s="125"/>
    </row>
    <row r="260" ht="13.5" customHeight="1">
      <c r="A260" s="124"/>
      <c r="B260" s="125"/>
    </row>
    <row r="261" ht="13.5" customHeight="1">
      <c r="A261" s="124"/>
      <c r="B261" s="125"/>
    </row>
    <row r="262" ht="13.5" customHeight="1">
      <c r="A262" s="124"/>
      <c r="B262" s="125"/>
    </row>
    <row r="263" ht="13.5" customHeight="1">
      <c r="A263" s="124"/>
      <c r="B263" s="125"/>
    </row>
    <row r="264" ht="13.5" customHeight="1">
      <c r="A264" s="124"/>
      <c r="B264" s="125"/>
    </row>
    <row r="265" ht="13.5" customHeight="1">
      <c r="A265" s="124"/>
      <c r="B265" s="125"/>
    </row>
    <row r="266" ht="13.5" customHeight="1">
      <c r="A266" s="124"/>
      <c r="B266" s="125"/>
    </row>
    <row r="267" ht="13.5" customHeight="1">
      <c r="A267" s="124"/>
      <c r="B267" s="125"/>
    </row>
    <row r="268" ht="13.5" customHeight="1">
      <c r="A268" s="124"/>
      <c r="B268" s="125"/>
    </row>
    <row r="269" ht="13.5" customHeight="1">
      <c r="A269" s="124"/>
      <c r="B269" s="125"/>
    </row>
    <row r="270" ht="13.5" customHeight="1">
      <c r="A270" s="124"/>
      <c r="B270" s="125"/>
    </row>
    <row r="271" ht="13.5" customHeight="1">
      <c r="A271" s="124"/>
      <c r="B271" s="125"/>
    </row>
    <row r="272" ht="13.5" customHeight="1">
      <c r="A272" s="124"/>
      <c r="B272" s="125"/>
    </row>
    <row r="273" ht="13.5" customHeight="1">
      <c r="A273" s="124"/>
      <c r="B273" s="125"/>
    </row>
    <row r="274" ht="13.5" customHeight="1">
      <c r="A274" s="124"/>
      <c r="B274" s="125"/>
    </row>
    <row r="275" ht="13.5" customHeight="1">
      <c r="A275" s="124"/>
      <c r="B275" s="125"/>
    </row>
    <row r="276" ht="13.5" customHeight="1">
      <c r="A276" s="124"/>
      <c r="B276" s="125"/>
    </row>
    <row r="277" ht="13.5" customHeight="1">
      <c r="A277" s="124"/>
      <c r="B277" s="125"/>
    </row>
    <row r="278" ht="13.5" customHeight="1">
      <c r="A278" s="124"/>
      <c r="B278" s="125"/>
    </row>
    <row r="279" ht="13.5" customHeight="1">
      <c r="A279" s="124"/>
      <c r="B279" s="125"/>
    </row>
    <row r="280" ht="13.5" customHeight="1">
      <c r="A280" s="124"/>
      <c r="B280" s="125"/>
    </row>
    <row r="281" ht="13.5" customHeight="1">
      <c r="A281" s="124"/>
      <c r="B281" s="125"/>
    </row>
    <row r="282" ht="13.5" customHeight="1">
      <c r="A282" s="124"/>
      <c r="B282" s="125"/>
    </row>
    <row r="283" ht="13.5" customHeight="1">
      <c r="A283" s="124"/>
      <c r="B283" s="125"/>
    </row>
    <row r="284" ht="13.5" customHeight="1">
      <c r="A284" s="124"/>
      <c r="B284" s="125"/>
    </row>
    <row r="285" ht="13.5" customHeight="1">
      <c r="A285" s="124"/>
      <c r="B285" s="125"/>
    </row>
    <row r="286" ht="13.5" customHeight="1">
      <c r="A286" s="124"/>
      <c r="B286" s="125"/>
    </row>
    <row r="287" ht="13.5" customHeight="1">
      <c r="A287" s="124"/>
      <c r="B287" s="125"/>
    </row>
    <row r="288" ht="13.5" customHeight="1">
      <c r="A288" s="124"/>
      <c r="B288" s="125"/>
    </row>
    <row r="289" ht="13.5" customHeight="1">
      <c r="A289" s="124"/>
      <c r="B289" s="125"/>
    </row>
    <row r="290" ht="13.5" customHeight="1">
      <c r="A290" s="124"/>
      <c r="B290" s="125"/>
    </row>
    <row r="291" ht="13.5" customHeight="1">
      <c r="A291" s="124"/>
      <c r="B291" s="125"/>
    </row>
    <row r="292" ht="13.5" customHeight="1">
      <c r="A292" s="124"/>
      <c r="B292" s="125"/>
    </row>
    <row r="293" ht="13.5" customHeight="1">
      <c r="A293" s="124"/>
      <c r="B293" s="125"/>
    </row>
    <row r="294" ht="13.5" customHeight="1">
      <c r="A294" s="124"/>
      <c r="B294" s="125"/>
    </row>
    <row r="295" ht="13.5" customHeight="1">
      <c r="A295" s="124"/>
      <c r="B295" s="125"/>
    </row>
    <row r="296" ht="13.5" customHeight="1">
      <c r="A296" s="124"/>
      <c r="B296" s="125"/>
    </row>
    <row r="297" ht="13.5" customHeight="1">
      <c r="A297" s="124"/>
      <c r="B297" s="125"/>
    </row>
    <row r="298" ht="13.5" customHeight="1">
      <c r="A298" s="124"/>
      <c r="B298" s="125"/>
    </row>
    <row r="299" ht="13.5" customHeight="1">
      <c r="A299" s="124"/>
      <c r="B299" s="125"/>
    </row>
    <row r="300" ht="13.5" customHeight="1">
      <c r="A300" s="124"/>
      <c r="B300" s="125"/>
    </row>
    <row r="301" ht="13.5" customHeight="1">
      <c r="A301" s="124"/>
      <c r="B301" s="125"/>
    </row>
    <row r="302" ht="13.5" customHeight="1">
      <c r="A302" s="124"/>
      <c r="B302" s="125"/>
    </row>
    <row r="303" ht="13.5" customHeight="1">
      <c r="A303" s="124"/>
      <c r="B303" s="125"/>
    </row>
    <row r="304" ht="13.5" customHeight="1">
      <c r="A304" s="124"/>
      <c r="B304" s="125"/>
    </row>
    <row r="305" ht="13.5" customHeight="1">
      <c r="A305" s="124"/>
      <c r="B305" s="125"/>
    </row>
    <row r="306" ht="13.5" customHeight="1">
      <c r="A306" s="124"/>
      <c r="B306" s="125"/>
    </row>
    <row r="307" ht="13.5" customHeight="1">
      <c r="A307" s="124"/>
      <c r="B307" s="125"/>
    </row>
    <row r="308" ht="13.5" customHeight="1">
      <c r="A308" s="124"/>
      <c r="B308" s="125"/>
    </row>
    <row r="309" ht="13.5" customHeight="1">
      <c r="A309" s="124"/>
      <c r="B309" s="125"/>
    </row>
    <row r="310" ht="13.5" customHeight="1">
      <c r="A310" s="124"/>
      <c r="B310" s="125"/>
    </row>
    <row r="311" ht="13.5" customHeight="1">
      <c r="A311" s="124"/>
      <c r="B311" s="125"/>
    </row>
    <row r="312" ht="13.5" customHeight="1">
      <c r="A312" s="124"/>
      <c r="B312" s="125"/>
    </row>
    <row r="313" ht="13.5" customHeight="1">
      <c r="A313" s="124"/>
      <c r="B313" s="125"/>
    </row>
    <row r="314" ht="13.5" customHeight="1">
      <c r="A314" s="124"/>
      <c r="B314" s="125"/>
    </row>
    <row r="315" ht="13.5" customHeight="1">
      <c r="A315" s="124"/>
      <c r="B315" s="125"/>
    </row>
    <row r="316" ht="13.5" customHeight="1">
      <c r="A316" s="124"/>
      <c r="B316" s="125"/>
    </row>
    <row r="317" ht="13.5" customHeight="1">
      <c r="A317" s="124"/>
      <c r="B317" s="125"/>
    </row>
    <row r="318" ht="13.5" customHeight="1">
      <c r="A318" s="124"/>
      <c r="B318" s="125"/>
    </row>
    <row r="319" ht="13.5" customHeight="1">
      <c r="A319" s="124"/>
      <c r="B319" s="125"/>
    </row>
    <row r="320" ht="13.5" customHeight="1">
      <c r="A320" s="124"/>
      <c r="B320" s="125"/>
    </row>
    <row r="321" ht="13.5" customHeight="1">
      <c r="A321" s="124"/>
      <c r="B321" s="125"/>
    </row>
    <row r="322" ht="13.5" customHeight="1">
      <c r="A322" s="124"/>
      <c r="B322" s="125"/>
    </row>
    <row r="323" ht="13.5" customHeight="1">
      <c r="A323" s="124"/>
      <c r="B323" s="125"/>
    </row>
    <row r="324" ht="13.5" customHeight="1">
      <c r="A324" s="124"/>
      <c r="B324" s="125"/>
    </row>
    <row r="325" ht="13.5" customHeight="1">
      <c r="A325" s="124"/>
      <c r="B325" s="125"/>
    </row>
    <row r="326" ht="13.5" customHeight="1">
      <c r="A326" s="124"/>
      <c r="B326" s="125"/>
    </row>
    <row r="327" ht="13.5" customHeight="1">
      <c r="A327" s="124"/>
      <c r="B327" s="125"/>
    </row>
    <row r="328" ht="13.5" customHeight="1">
      <c r="A328" s="124"/>
      <c r="B328" s="125"/>
    </row>
    <row r="329" ht="13.5" customHeight="1">
      <c r="A329" s="124"/>
      <c r="B329" s="125"/>
    </row>
    <row r="330" ht="13.5" customHeight="1">
      <c r="A330" s="124"/>
      <c r="B330" s="125"/>
    </row>
    <row r="331" ht="13.5" customHeight="1">
      <c r="A331" s="124"/>
      <c r="B331" s="125"/>
    </row>
    <row r="332" ht="13.5" customHeight="1">
      <c r="A332" s="124"/>
      <c r="B332" s="125"/>
    </row>
    <row r="333" ht="13.5" customHeight="1">
      <c r="A333" s="124"/>
      <c r="B333" s="125"/>
    </row>
    <row r="334" ht="13.5" customHeight="1">
      <c r="A334" s="124"/>
      <c r="B334" s="125"/>
    </row>
    <row r="335" ht="13.5" customHeight="1">
      <c r="A335" s="124"/>
      <c r="B335" s="125"/>
    </row>
    <row r="336" ht="13.5" customHeight="1">
      <c r="A336" s="124"/>
      <c r="B336" s="125"/>
    </row>
    <row r="337" ht="13.5" customHeight="1">
      <c r="A337" s="124"/>
      <c r="B337" s="125"/>
    </row>
    <row r="338" ht="13.5" customHeight="1">
      <c r="A338" s="124"/>
      <c r="B338" s="125"/>
    </row>
    <row r="339" ht="13.5" customHeight="1">
      <c r="A339" s="124"/>
      <c r="B339" s="125"/>
    </row>
    <row r="340" ht="13.5" customHeight="1">
      <c r="A340" s="124"/>
      <c r="B340" s="125"/>
    </row>
    <row r="341" ht="13.5" customHeight="1">
      <c r="A341" s="124"/>
      <c r="B341" s="125"/>
    </row>
    <row r="342" ht="13.5" customHeight="1">
      <c r="A342" s="124"/>
      <c r="B342" s="125"/>
    </row>
    <row r="343" ht="13.5" customHeight="1">
      <c r="A343" s="124"/>
      <c r="B343" s="125"/>
    </row>
    <row r="344" ht="13.5" customHeight="1">
      <c r="A344" s="124"/>
      <c r="B344" s="125"/>
    </row>
    <row r="345" ht="13.5" customHeight="1">
      <c r="A345" s="124"/>
      <c r="B345" s="125"/>
    </row>
    <row r="346" ht="13.5" customHeight="1">
      <c r="A346" s="124"/>
      <c r="B346" s="125"/>
    </row>
    <row r="347" ht="13.5" customHeight="1">
      <c r="A347" s="124"/>
      <c r="B347" s="125"/>
    </row>
    <row r="348" ht="13.5" customHeight="1">
      <c r="A348" s="124"/>
      <c r="B348" s="125"/>
    </row>
    <row r="349" ht="13.5" customHeight="1">
      <c r="A349" s="124"/>
      <c r="B349" s="125"/>
    </row>
    <row r="350" ht="13.5" customHeight="1">
      <c r="A350" s="124"/>
      <c r="B350" s="125"/>
    </row>
    <row r="351" ht="13.5" customHeight="1">
      <c r="A351" s="124"/>
      <c r="B351" s="125"/>
    </row>
    <row r="352" ht="13.5" customHeight="1">
      <c r="A352" s="124"/>
      <c r="B352" s="125"/>
    </row>
    <row r="353" ht="13.5" customHeight="1">
      <c r="A353" s="124"/>
      <c r="B353" s="125"/>
    </row>
    <row r="354" ht="13.5" customHeight="1">
      <c r="A354" s="124"/>
      <c r="B354" s="125"/>
    </row>
    <row r="355" ht="13.5" customHeight="1">
      <c r="A355" s="124"/>
      <c r="B355" s="125"/>
    </row>
    <row r="356" ht="13.5" customHeight="1">
      <c r="A356" s="124"/>
      <c r="B356" s="125"/>
    </row>
    <row r="357" ht="13.5" customHeight="1">
      <c r="A357" s="124"/>
      <c r="B357" s="125"/>
    </row>
    <row r="358" ht="13.5" customHeight="1">
      <c r="A358" s="124"/>
      <c r="B358" s="125"/>
    </row>
    <row r="359" ht="13.5" customHeight="1">
      <c r="A359" s="124"/>
      <c r="B359" s="125"/>
    </row>
    <row r="360" ht="13.5" customHeight="1">
      <c r="A360" s="124"/>
      <c r="B360" s="125"/>
    </row>
    <row r="361" ht="13.5" customHeight="1">
      <c r="A361" s="124"/>
      <c r="B361" s="125"/>
    </row>
    <row r="362" ht="13.5" customHeight="1">
      <c r="A362" s="124"/>
      <c r="B362" s="125"/>
    </row>
    <row r="363" ht="13.5" customHeight="1">
      <c r="A363" s="124"/>
      <c r="B363" s="125"/>
    </row>
    <row r="364" ht="13.5" customHeight="1">
      <c r="A364" s="124"/>
      <c r="B364" s="125"/>
    </row>
    <row r="365" ht="13.5" customHeight="1">
      <c r="A365" s="124"/>
      <c r="B365" s="125"/>
    </row>
    <row r="366" ht="13.5" customHeight="1">
      <c r="A366" s="124"/>
      <c r="B366" s="125"/>
    </row>
    <row r="367" ht="13.5" customHeight="1">
      <c r="A367" s="124"/>
      <c r="B367" s="125"/>
    </row>
    <row r="368" ht="13.5" customHeight="1">
      <c r="A368" s="124"/>
      <c r="B368" s="125"/>
    </row>
    <row r="369" ht="13.5" customHeight="1">
      <c r="A369" s="124"/>
      <c r="B369" s="125"/>
    </row>
    <row r="370" ht="13.5" customHeight="1">
      <c r="A370" s="124"/>
      <c r="B370" s="125"/>
    </row>
    <row r="371" ht="13.5" customHeight="1">
      <c r="A371" s="124"/>
      <c r="B371" s="125"/>
    </row>
    <row r="372" ht="13.5" customHeight="1">
      <c r="A372" s="124"/>
      <c r="B372" s="125"/>
    </row>
    <row r="373" ht="13.5" customHeight="1">
      <c r="A373" s="124"/>
      <c r="B373" s="125"/>
    </row>
    <row r="374" ht="13.5" customHeight="1">
      <c r="A374" s="124"/>
      <c r="B374" s="125"/>
    </row>
    <row r="375" ht="13.5" customHeight="1">
      <c r="A375" s="124"/>
      <c r="B375" s="125"/>
    </row>
    <row r="376" ht="13.5" customHeight="1">
      <c r="A376" s="124"/>
      <c r="B376" s="125"/>
    </row>
    <row r="377" ht="13.5" customHeight="1">
      <c r="A377" s="124"/>
      <c r="B377" s="125"/>
    </row>
    <row r="378" ht="13.5" customHeight="1">
      <c r="A378" s="124"/>
      <c r="B378" s="125"/>
    </row>
    <row r="379" ht="13.5" customHeight="1">
      <c r="A379" s="124"/>
      <c r="B379" s="125"/>
    </row>
    <row r="380" ht="13.5" customHeight="1">
      <c r="A380" s="124"/>
      <c r="B380" s="125"/>
    </row>
    <row r="381" ht="13.5" customHeight="1">
      <c r="A381" s="124"/>
      <c r="B381" s="125"/>
    </row>
    <row r="382" ht="13.5" customHeight="1">
      <c r="A382" s="124"/>
      <c r="B382" s="125"/>
    </row>
    <row r="383" ht="13.5" customHeight="1">
      <c r="A383" s="124"/>
      <c r="B383" s="125"/>
    </row>
    <row r="384" ht="13.5" customHeight="1">
      <c r="A384" s="124"/>
      <c r="B384" s="125"/>
    </row>
    <row r="385" ht="13.5" customHeight="1">
      <c r="A385" s="124"/>
      <c r="B385" s="125"/>
    </row>
    <row r="386" ht="13.5" customHeight="1">
      <c r="A386" s="124"/>
      <c r="B386" s="125"/>
    </row>
    <row r="387" ht="13.5" customHeight="1">
      <c r="A387" s="124"/>
      <c r="B387" s="125"/>
    </row>
    <row r="388" ht="13.5" customHeight="1">
      <c r="A388" s="124"/>
      <c r="B388" s="125"/>
    </row>
    <row r="389" ht="13.5" customHeight="1">
      <c r="A389" s="124"/>
      <c r="B389" s="125"/>
    </row>
    <row r="390" ht="13.5" customHeight="1">
      <c r="A390" s="124"/>
      <c r="B390" s="125"/>
    </row>
    <row r="391" ht="13.5" customHeight="1">
      <c r="A391" s="124"/>
      <c r="B391" s="125"/>
    </row>
    <row r="392" ht="13.5" customHeight="1">
      <c r="A392" s="124"/>
      <c r="B392" s="125"/>
    </row>
    <row r="393" ht="13.5" customHeight="1">
      <c r="A393" s="124"/>
      <c r="B393" s="125"/>
    </row>
    <row r="394" ht="13.5" customHeight="1">
      <c r="A394" s="124"/>
      <c r="B394" s="125"/>
    </row>
    <row r="395" ht="13.5" customHeight="1">
      <c r="A395" s="124"/>
      <c r="B395" s="125"/>
    </row>
    <row r="396" ht="13.5" customHeight="1">
      <c r="A396" s="124"/>
      <c r="B396" s="125"/>
    </row>
    <row r="397" ht="13.5" customHeight="1">
      <c r="A397" s="124"/>
      <c r="B397" s="125"/>
    </row>
    <row r="398" ht="13.5" customHeight="1">
      <c r="A398" s="124"/>
      <c r="B398" s="125"/>
    </row>
    <row r="399" ht="13.5" customHeight="1">
      <c r="A399" s="124"/>
      <c r="B399" s="125"/>
    </row>
    <row r="400" ht="13.5" customHeight="1">
      <c r="A400" s="124"/>
      <c r="B400" s="125"/>
    </row>
    <row r="401" ht="13.5" customHeight="1">
      <c r="A401" s="124"/>
      <c r="B401" s="125"/>
    </row>
    <row r="402" ht="13.5" customHeight="1">
      <c r="A402" s="124"/>
      <c r="B402" s="125"/>
    </row>
    <row r="403" ht="13.5" customHeight="1">
      <c r="A403" s="124"/>
      <c r="B403" s="125"/>
    </row>
    <row r="404" ht="13.5" customHeight="1">
      <c r="A404" s="124"/>
      <c r="B404" s="125"/>
    </row>
    <row r="405" ht="13.5" customHeight="1">
      <c r="A405" s="124"/>
      <c r="B405" s="125"/>
    </row>
    <row r="406" ht="13.5" customHeight="1">
      <c r="A406" s="124"/>
      <c r="B406" s="125"/>
    </row>
    <row r="407" ht="13.5" customHeight="1">
      <c r="A407" s="124"/>
      <c r="B407" s="125"/>
    </row>
    <row r="408" ht="13.5" customHeight="1">
      <c r="A408" s="124"/>
      <c r="B408" s="125"/>
    </row>
    <row r="409" ht="13.5" customHeight="1">
      <c r="A409" s="124"/>
      <c r="B409" s="125"/>
    </row>
    <row r="410" ht="13.5" customHeight="1">
      <c r="A410" s="124"/>
      <c r="B410" s="125"/>
    </row>
    <row r="411" ht="13.5" customHeight="1">
      <c r="A411" s="124"/>
      <c r="B411" s="125"/>
    </row>
    <row r="412" ht="13.5" customHeight="1">
      <c r="A412" s="124"/>
      <c r="B412" s="125"/>
    </row>
    <row r="413" ht="13.5" customHeight="1">
      <c r="A413" s="124"/>
      <c r="B413" s="125"/>
    </row>
    <row r="414" ht="13.5" customHeight="1">
      <c r="A414" s="124"/>
      <c r="B414" s="125"/>
    </row>
    <row r="415" ht="13.5" customHeight="1">
      <c r="A415" s="124"/>
      <c r="B415" s="125"/>
    </row>
    <row r="416" ht="13.5" customHeight="1">
      <c r="A416" s="124"/>
      <c r="B416" s="125"/>
    </row>
    <row r="417" ht="13.5" customHeight="1">
      <c r="A417" s="124"/>
      <c r="B417" s="125"/>
    </row>
    <row r="418" ht="13.5" customHeight="1">
      <c r="A418" s="124"/>
      <c r="B418" s="125"/>
    </row>
    <row r="419" ht="13.5" customHeight="1">
      <c r="A419" s="124"/>
      <c r="B419" s="125"/>
    </row>
    <row r="420" ht="13.5" customHeight="1">
      <c r="A420" s="124"/>
      <c r="B420" s="125"/>
    </row>
    <row r="421" ht="13.5" customHeight="1">
      <c r="A421" s="124"/>
      <c r="B421" s="125"/>
    </row>
    <row r="422" ht="13.5" customHeight="1">
      <c r="A422" s="124"/>
      <c r="B422" s="125"/>
    </row>
    <row r="423" ht="13.5" customHeight="1">
      <c r="A423" s="124"/>
      <c r="B423" s="125"/>
    </row>
    <row r="424" ht="13.5" customHeight="1">
      <c r="A424" s="124"/>
      <c r="B424" s="125"/>
    </row>
    <row r="425" ht="13.5" customHeight="1">
      <c r="A425" s="124"/>
      <c r="B425" s="125"/>
    </row>
    <row r="426" ht="13.5" customHeight="1">
      <c r="A426" s="124"/>
      <c r="B426" s="125"/>
    </row>
    <row r="427" ht="13.5" customHeight="1">
      <c r="A427" s="124"/>
      <c r="B427" s="125"/>
    </row>
    <row r="428" ht="13.5" customHeight="1">
      <c r="A428" s="124"/>
      <c r="B428" s="125"/>
    </row>
    <row r="429" ht="13.5" customHeight="1">
      <c r="A429" s="124"/>
      <c r="B429" s="125"/>
    </row>
    <row r="430" ht="13.5" customHeight="1">
      <c r="A430" s="124"/>
      <c r="B430" s="125"/>
    </row>
    <row r="431" ht="13.5" customHeight="1">
      <c r="A431" s="124"/>
      <c r="B431" s="125"/>
    </row>
    <row r="432" ht="13.5" customHeight="1">
      <c r="A432" s="124"/>
      <c r="B432" s="125"/>
    </row>
    <row r="433" ht="13.5" customHeight="1">
      <c r="A433" s="124"/>
      <c r="B433" s="125"/>
    </row>
    <row r="434" ht="13.5" customHeight="1">
      <c r="A434" s="124"/>
      <c r="B434" s="125"/>
    </row>
    <row r="435" ht="13.5" customHeight="1">
      <c r="A435" s="124"/>
      <c r="B435" s="125"/>
    </row>
    <row r="436" ht="13.5" customHeight="1">
      <c r="A436" s="124"/>
      <c r="B436" s="125"/>
    </row>
    <row r="437" ht="13.5" customHeight="1">
      <c r="A437" s="124"/>
      <c r="B437" s="125"/>
    </row>
    <row r="438" ht="13.5" customHeight="1">
      <c r="A438" s="124"/>
      <c r="B438" s="125"/>
    </row>
    <row r="439" ht="13.5" customHeight="1">
      <c r="A439" s="124"/>
      <c r="B439" s="125"/>
    </row>
    <row r="440" ht="13.5" customHeight="1">
      <c r="A440" s="124"/>
      <c r="B440" s="125"/>
    </row>
    <row r="441" ht="13.5" customHeight="1">
      <c r="A441" s="124"/>
      <c r="B441" s="125"/>
    </row>
    <row r="442" ht="13.5" customHeight="1">
      <c r="A442" s="124"/>
      <c r="B442" s="125"/>
    </row>
    <row r="443" ht="13.5" customHeight="1">
      <c r="A443" s="124"/>
      <c r="B443" s="125"/>
    </row>
    <row r="444" ht="13.5" customHeight="1">
      <c r="A444" s="124"/>
      <c r="B444" s="125"/>
    </row>
    <row r="445" ht="13.5" customHeight="1">
      <c r="A445" s="124"/>
      <c r="B445" s="125"/>
    </row>
    <row r="446" ht="13.5" customHeight="1">
      <c r="A446" s="124"/>
      <c r="B446" s="125"/>
    </row>
    <row r="447" ht="13.5" customHeight="1">
      <c r="A447" s="124"/>
      <c r="B447" s="125"/>
    </row>
    <row r="448" ht="13.5" customHeight="1">
      <c r="A448" s="124"/>
      <c r="B448" s="125"/>
    </row>
    <row r="449" ht="13.5" customHeight="1">
      <c r="A449" s="124"/>
      <c r="B449" s="125"/>
    </row>
    <row r="450" ht="13.5" customHeight="1">
      <c r="A450" s="124"/>
      <c r="B450" s="125"/>
    </row>
    <row r="451" ht="13.5" customHeight="1">
      <c r="A451" s="124"/>
      <c r="B451" s="125"/>
    </row>
    <row r="452" ht="13.5" customHeight="1">
      <c r="A452" s="124"/>
      <c r="B452" s="125"/>
    </row>
    <row r="453" ht="13.5" customHeight="1">
      <c r="A453" s="124"/>
      <c r="B453" s="125"/>
    </row>
    <row r="454" ht="13.5" customHeight="1">
      <c r="A454" s="124"/>
      <c r="B454" s="125"/>
    </row>
    <row r="455" ht="13.5" customHeight="1">
      <c r="A455" s="124"/>
      <c r="B455" s="125"/>
    </row>
    <row r="456" ht="13.5" customHeight="1">
      <c r="A456" s="124"/>
      <c r="B456" s="125"/>
    </row>
    <row r="457" ht="13.5" customHeight="1">
      <c r="A457" s="124"/>
      <c r="B457" s="125"/>
    </row>
    <row r="458" ht="13.5" customHeight="1">
      <c r="A458" s="124"/>
      <c r="B458" s="125"/>
    </row>
    <row r="459" ht="13.5" customHeight="1">
      <c r="A459" s="124"/>
      <c r="B459" s="125"/>
    </row>
    <row r="460" ht="13.5" customHeight="1">
      <c r="A460" s="124"/>
      <c r="B460" s="125"/>
    </row>
    <row r="461" ht="13.5" customHeight="1">
      <c r="A461" s="124"/>
      <c r="B461" s="125"/>
    </row>
    <row r="462" ht="13.5" customHeight="1">
      <c r="A462" s="124"/>
      <c r="B462" s="125"/>
    </row>
    <row r="463" ht="13.5" customHeight="1">
      <c r="A463" s="124"/>
      <c r="B463" s="125"/>
    </row>
    <row r="464" ht="13.5" customHeight="1">
      <c r="A464" s="124"/>
      <c r="B464" s="125"/>
    </row>
    <row r="465" ht="13.5" customHeight="1">
      <c r="A465" s="124"/>
      <c r="B465" s="125"/>
    </row>
    <row r="466" ht="13.5" customHeight="1">
      <c r="A466" s="124"/>
      <c r="B466" s="125"/>
    </row>
    <row r="467" ht="13.5" customHeight="1">
      <c r="A467" s="124"/>
      <c r="B467" s="125"/>
    </row>
    <row r="468" ht="13.5" customHeight="1">
      <c r="A468" s="124"/>
      <c r="B468" s="125"/>
    </row>
    <row r="469" ht="13.5" customHeight="1">
      <c r="A469" s="124"/>
      <c r="B469" s="125"/>
    </row>
    <row r="470" ht="13.5" customHeight="1">
      <c r="A470" s="124"/>
      <c r="B470" s="125"/>
    </row>
    <row r="471" ht="13.5" customHeight="1">
      <c r="A471" s="124"/>
      <c r="B471" s="125"/>
    </row>
    <row r="472" ht="13.5" customHeight="1">
      <c r="A472" s="124"/>
      <c r="B472" s="125"/>
    </row>
    <row r="473" ht="13.5" customHeight="1">
      <c r="A473" s="124"/>
      <c r="B473" s="125"/>
    </row>
    <row r="474" ht="13.5" customHeight="1">
      <c r="A474" s="124"/>
      <c r="B474" s="125"/>
    </row>
    <row r="475" ht="13.5" customHeight="1">
      <c r="A475" s="124"/>
      <c r="B475" s="125"/>
    </row>
    <row r="476" ht="13.5" customHeight="1">
      <c r="A476" s="124"/>
      <c r="B476" s="125"/>
    </row>
    <row r="477" ht="13.5" customHeight="1">
      <c r="A477" s="124"/>
      <c r="B477" s="125"/>
    </row>
    <row r="478" ht="13.5" customHeight="1">
      <c r="A478" s="124"/>
      <c r="B478" s="125"/>
    </row>
    <row r="479" ht="13.5" customHeight="1">
      <c r="A479" s="124"/>
      <c r="B479" s="125"/>
    </row>
    <row r="480" ht="13.5" customHeight="1">
      <c r="A480" s="124"/>
      <c r="B480" s="125"/>
    </row>
    <row r="481" ht="13.5" customHeight="1">
      <c r="A481" s="124"/>
      <c r="B481" s="125"/>
    </row>
    <row r="482" ht="13.5" customHeight="1">
      <c r="A482" s="124"/>
      <c r="B482" s="125"/>
    </row>
    <row r="483" ht="13.5" customHeight="1">
      <c r="A483" s="124"/>
      <c r="B483" s="125"/>
    </row>
    <row r="484" ht="13.5" customHeight="1">
      <c r="A484" s="124"/>
      <c r="B484" s="125"/>
    </row>
    <row r="485" ht="13.5" customHeight="1">
      <c r="A485" s="124"/>
      <c r="B485" s="125"/>
    </row>
    <row r="486" ht="13.5" customHeight="1">
      <c r="A486" s="124"/>
      <c r="B486" s="125"/>
    </row>
    <row r="487" ht="13.5" customHeight="1">
      <c r="A487" s="124"/>
      <c r="B487" s="125"/>
    </row>
    <row r="488" ht="13.5" customHeight="1">
      <c r="A488" s="124"/>
      <c r="B488" s="125"/>
    </row>
    <row r="489" ht="13.5" customHeight="1">
      <c r="A489" s="124"/>
      <c r="B489" s="125"/>
    </row>
    <row r="490" ht="13.5" customHeight="1">
      <c r="A490" s="124"/>
      <c r="B490" s="125"/>
    </row>
    <row r="491" ht="13.5" customHeight="1">
      <c r="A491" s="124"/>
      <c r="B491" s="125"/>
    </row>
    <row r="492" ht="13.5" customHeight="1">
      <c r="A492" s="124"/>
      <c r="B492" s="125"/>
    </row>
    <row r="493" ht="13.5" customHeight="1">
      <c r="A493" s="124"/>
      <c r="B493" s="125"/>
    </row>
    <row r="494" ht="13.5" customHeight="1">
      <c r="A494" s="124"/>
      <c r="B494" s="125"/>
    </row>
    <row r="495" ht="13.5" customHeight="1">
      <c r="A495" s="124"/>
      <c r="B495" s="125"/>
    </row>
    <row r="496" ht="13.5" customHeight="1">
      <c r="A496" s="124"/>
      <c r="B496" s="125"/>
    </row>
    <row r="497" ht="13.5" customHeight="1">
      <c r="A497" s="124"/>
      <c r="B497" s="125"/>
    </row>
    <row r="498" ht="13.5" customHeight="1">
      <c r="A498" s="124"/>
      <c r="B498" s="125"/>
    </row>
    <row r="499" ht="13.5" customHeight="1">
      <c r="A499" s="124"/>
      <c r="B499" s="125"/>
    </row>
    <row r="500" ht="13.5" customHeight="1">
      <c r="A500" s="124"/>
      <c r="B500" s="125"/>
    </row>
    <row r="501" ht="13.5" customHeight="1">
      <c r="A501" s="124"/>
      <c r="B501" s="125"/>
    </row>
    <row r="502" ht="13.5" customHeight="1">
      <c r="A502" s="124"/>
      <c r="B502" s="125"/>
    </row>
    <row r="503" ht="13.5" customHeight="1">
      <c r="A503" s="124"/>
      <c r="B503" s="125"/>
    </row>
    <row r="504" ht="13.5" customHeight="1">
      <c r="A504" s="124"/>
      <c r="B504" s="125"/>
    </row>
    <row r="505" ht="13.5" customHeight="1">
      <c r="A505" s="124"/>
      <c r="B505" s="125"/>
    </row>
    <row r="506" ht="13.5" customHeight="1">
      <c r="A506" s="124"/>
      <c r="B506" s="125"/>
    </row>
    <row r="507" ht="13.5" customHeight="1">
      <c r="A507" s="124"/>
      <c r="B507" s="125"/>
    </row>
    <row r="508" ht="13.5" customHeight="1">
      <c r="A508" s="124"/>
      <c r="B508" s="125"/>
    </row>
    <row r="509" ht="13.5" customHeight="1">
      <c r="A509" s="124"/>
      <c r="B509" s="125"/>
    </row>
    <row r="510" ht="13.5" customHeight="1">
      <c r="A510" s="124"/>
      <c r="B510" s="125"/>
    </row>
    <row r="511" ht="13.5" customHeight="1">
      <c r="A511" s="124"/>
      <c r="B511" s="125"/>
    </row>
    <row r="512" ht="13.5" customHeight="1">
      <c r="A512" s="124"/>
      <c r="B512" s="125"/>
    </row>
    <row r="513" ht="13.5" customHeight="1">
      <c r="A513" s="124"/>
      <c r="B513" s="125"/>
    </row>
    <row r="514" ht="13.5" customHeight="1">
      <c r="A514" s="124"/>
      <c r="B514" s="125"/>
    </row>
    <row r="515" ht="13.5" customHeight="1">
      <c r="A515" s="124"/>
      <c r="B515" s="125"/>
    </row>
    <row r="516" ht="13.5" customHeight="1">
      <c r="A516" s="124"/>
      <c r="B516" s="125"/>
    </row>
    <row r="517" ht="13.5" customHeight="1">
      <c r="A517" s="124"/>
      <c r="B517" s="125"/>
    </row>
    <row r="518" ht="13.5" customHeight="1">
      <c r="A518" s="124"/>
      <c r="B518" s="125"/>
    </row>
    <row r="519" ht="13.5" customHeight="1">
      <c r="A519" s="124"/>
      <c r="B519" s="125"/>
    </row>
    <row r="520" ht="13.5" customHeight="1">
      <c r="A520" s="124"/>
      <c r="B520" s="125"/>
    </row>
    <row r="521" ht="13.5" customHeight="1">
      <c r="A521" s="124"/>
      <c r="B521" s="125"/>
    </row>
    <row r="522" ht="13.5" customHeight="1">
      <c r="A522" s="124"/>
      <c r="B522" s="125"/>
    </row>
    <row r="523" ht="13.5" customHeight="1">
      <c r="A523" s="124"/>
      <c r="B523" s="125"/>
    </row>
    <row r="524" ht="13.5" customHeight="1">
      <c r="A524" s="124"/>
      <c r="B524" s="125"/>
    </row>
    <row r="525" ht="13.5" customHeight="1">
      <c r="A525" s="124"/>
      <c r="B525" s="125"/>
    </row>
    <row r="526" ht="13.5" customHeight="1">
      <c r="A526" s="124"/>
      <c r="B526" s="125"/>
    </row>
    <row r="527" ht="13.5" customHeight="1">
      <c r="A527" s="124"/>
      <c r="B527" s="125"/>
    </row>
    <row r="528" ht="13.5" customHeight="1">
      <c r="A528" s="124"/>
      <c r="B528" s="125"/>
    </row>
    <row r="529" ht="13.5" customHeight="1">
      <c r="A529" s="124"/>
      <c r="B529" s="125"/>
    </row>
    <row r="530" ht="13.5" customHeight="1">
      <c r="A530" s="124"/>
      <c r="B530" s="125"/>
    </row>
    <row r="531" ht="13.5" customHeight="1">
      <c r="A531" s="124"/>
      <c r="B531" s="125"/>
    </row>
    <row r="532" ht="13.5" customHeight="1">
      <c r="A532" s="124"/>
      <c r="B532" s="125"/>
    </row>
    <row r="533" ht="13.5" customHeight="1">
      <c r="A533" s="124"/>
      <c r="B533" s="125"/>
    </row>
    <row r="534" ht="13.5" customHeight="1">
      <c r="A534" s="124"/>
      <c r="B534" s="125"/>
    </row>
    <row r="535" ht="13.5" customHeight="1">
      <c r="A535" s="124"/>
      <c r="B535" s="125"/>
    </row>
    <row r="536" ht="13.5" customHeight="1">
      <c r="A536" s="124"/>
      <c r="B536" s="125"/>
    </row>
    <row r="537" ht="13.5" customHeight="1">
      <c r="A537" s="124"/>
      <c r="B537" s="125"/>
    </row>
    <row r="538" ht="13.5" customHeight="1">
      <c r="A538" s="124"/>
      <c r="B538" s="125"/>
    </row>
    <row r="539" ht="13.5" customHeight="1">
      <c r="A539" s="124"/>
      <c r="B539" s="125"/>
    </row>
    <row r="540" ht="13.5" customHeight="1">
      <c r="A540" s="124"/>
      <c r="B540" s="125"/>
    </row>
    <row r="541" ht="13.5" customHeight="1">
      <c r="A541" s="124"/>
      <c r="B541" s="125"/>
    </row>
    <row r="542" ht="13.5" customHeight="1">
      <c r="A542" s="124"/>
      <c r="B542" s="125"/>
    </row>
    <row r="543" ht="13.5" customHeight="1">
      <c r="A543" s="124"/>
      <c r="B543" s="125"/>
    </row>
    <row r="544" ht="13.5" customHeight="1">
      <c r="A544" s="124"/>
      <c r="B544" s="125"/>
    </row>
    <row r="545" ht="13.5" customHeight="1">
      <c r="A545" s="124"/>
      <c r="B545" s="125"/>
    </row>
    <row r="546" ht="13.5" customHeight="1">
      <c r="A546" s="124"/>
      <c r="B546" s="125"/>
    </row>
    <row r="547" ht="13.5" customHeight="1">
      <c r="A547" s="124"/>
      <c r="B547" s="125"/>
    </row>
    <row r="548" ht="13.5" customHeight="1">
      <c r="A548" s="124"/>
      <c r="B548" s="125"/>
    </row>
    <row r="549" ht="13.5" customHeight="1">
      <c r="A549" s="124"/>
      <c r="B549" s="125"/>
    </row>
    <row r="550" ht="13.5" customHeight="1">
      <c r="A550" s="124"/>
      <c r="B550" s="125"/>
    </row>
    <row r="551" ht="13.5" customHeight="1">
      <c r="A551" s="124"/>
      <c r="B551" s="125"/>
    </row>
    <row r="552" ht="13.5" customHeight="1">
      <c r="A552" s="124"/>
      <c r="B552" s="125"/>
    </row>
    <row r="553" ht="13.5" customHeight="1">
      <c r="A553" s="124"/>
      <c r="B553" s="125"/>
    </row>
    <row r="554" ht="13.5" customHeight="1">
      <c r="A554" s="124"/>
      <c r="B554" s="125"/>
    </row>
    <row r="555" ht="13.5" customHeight="1">
      <c r="A555" s="124"/>
      <c r="B555" s="125"/>
    </row>
    <row r="556" ht="13.5" customHeight="1">
      <c r="A556" s="124"/>
      <c r="B556" s="125"/>
    </row>
    <row r="557" ht="13.5" customHeight="1">
      <c r="A557" s="124"/>
      <c r="B557" s="125"/>
    </row>
    <row r="558" ht="13.5" customHeight="1">
      <c r="A558" s="124"/>
      <c r="B558" s="125"/>
    </row>
    <row r="559" ht="13.5" customHeight="1">
      <c r="A559" s="124"/>
      <c r="B559" s="125"/>
    </row>
    <row r="560" ht="13.5" customHeight="1">
      <c r="A560" s="124"/>
      <c r="B560" s="125"/>
    </row>
    <row r="561" ht="13.5" customHeight="1">
      <c r="A561" s="124"/>
      <c r="B561" s="125"/>
    </row>
    <row r="562" ht="13.5" customHeight="1">
      <c r="A562" s="124"/>
      <c r="B562" s="125"/>
    </row>
    <row r="563" ht="13.5" customHeight="1">
      <c r="A563" s="124"/>
      <c r="B563" s="125"/>
    </row>
    <row r="564" ht="13.5" customHeight="1">
      <c r="A564" s="124"/>
      <c r="B564" s="125"/>
    </row>
    <row r="565" ht="13.5" customHeight="1">
      <c r="A565" s="124"/>
      <c r="B565" s="125"/>
    </row>
    <row r="566" ht="13.5" customHeight="1">
      <c r="A566" s="124"/>
      <c r="B566" s="125"/>
    </row>
    <row r="567" ht="13.5" customHeight="1">
      <c r="A567" s="124"/>
      <c r="B567" s="125"/>
    </row>
    <row r="568" ht="13.5" customHeight="1">
      <c r="A568" s="124"/>
      <c r="B568" s="125"/>
    </row>
    <row r="569" ht="13.5" customHeight="1">
      <c r="A569" s="124"/>
      <c r="B569" s="125"/>
    </row>
    <row r="570" ht="13.5" customHeight="1">
      <c r="A570" s="124"/>
      <c r="B570" s="125"/>
    </row>
    <row r="571" ht="13.5" customHeight="1">
      <c r="A571" s="124"/>
      <c r="B571" s="125"/>
    </row>
    <row r="572" ht="13.5" customHeight="1">
      <c r="A572" s="124"/>
      <c r="B572" s="125"/>
    </row>
    <row r="573" ht="13.5" customHeight="1">
      <c r="A573" s="124"/>
      <c r="B573" s="125"/>
    </row>
    <row r="574" ht="13.5" customHeight="1">
      <c r="A574" s="124"/>
      <c r="B574" s="125"/>
    </row>
    <row r="575" ht="13.5" customHeight="1">
      <c r="A575" s="124"/>
      <c r="B575" s="125"/>
    </row>
    <row r="576" ht="13.5" customHeight="1">
      <c r="A576" s="124"/>
      <c r="B576" s="125"/>
    </row>
    <row r="577" ht="13.5" customHeight="1">
      <c r="A577" s="124"/>
      <c r="B577" s="125"/>
    </row>
    <row r="578" ht="13.5" customHeight="1">
      <c r="A578" s="124"/>
      <c r="B578" s="125"/>
    </row>
    <row r="579" ht="13.5" customHeight="1">
      <c r="A579" s="124"/>
      <c r="B579" s="125"/>
    </row>
    <row r="580" ht="13.5" customHeight="1">
      <c r="A580" s="124"/>
      <c r="B580" s="125"/>
    </row>
    <row r="581" ht="13.5" customHeight="1">
      <c r="A581" s="124"/>
      <c r="B581" s="125"/>
    </row>
    <row r="582" ht="13.5" customHeight="1">
      <c r="A582" s="124"/>
      <c r="B582" s="125"/>
    </row>
    <row r="583" ht="13.5" customHeight="1">
      <c r="A583" s="124"/>
      <c r="B583" s="125"/>
    </row>
    <row r="584" ht="13.5" customHeight="1">
      <c r="A584" s="124"/>
      <c r="B584" s="125"/>
    </row>
    <row r="585" ht="13.5" customHeight="1">
      <c r="A585" s="124"/>
      <c r="B585" s="125"/>
    </row>
    <row r="586" ht="13.5" customHeight="1">
      <c r="A586" s="124"/>
      <c r="B586" s="125"/>
    </row>
    <row r="587" ht="13.5" customHeight="1">
      <c r="A587" s="124"/>
      <c r="B587" s="125"/>
    </row>
    <row r="588" ht="13.5" customHeight="1">
      <c r="A588" s="124"/>
      <c r="B588" s="125"/>
    </row>
    <row r="589" ht="13.5" customHeight="1">
      <c r="A589" s="124"/>
      <c r="B589" s="125"/>
    </row>
    <row r="590" ht="13.5" customHeight="1">
      <c r="A590" s="124"/>
      <c r="B590" s="125"/>
    </row>
    <row r="591" ht="13.5" customHeight="1">
      <c r="A591" s="124"/>
      <c r="B591" s="125"/>
    </row>
    <row r="592" ht="13.5" customHeight="1">
      <c r="A592" s="124"/>
      <c r="B592" s="125"/>
    </row>
    <row r="593" ht="13.5" customHeight="1">
      <c r="A593" s="124"/>
      <c r="B593" s="125"/>
    </row>
    <row r="594" ht="13.5" customHeight="1">
      <c r="A594" s="124"/>
      <c r="B594" s="125"/>
    </row>
    <row r="595" ht="13.5" customHeight="1">
      <c r="A595" s="124"/>
      <c r="B595" s="125"/>
    </row>
    <row r="596" ht="13.5" customHeight="1">
      <c r="A596" s="124"/>
      <c r="B596" s="125"/>
    </row>
    <row r="597" ht="13.5" customHeight="1">
      <c r="A597" s="124"/>
      <c r="B597" s="125"/>
    </row>
    <row r="598" ht="13.5" customHeight="1">
      <c r="A598" s="124"/>
      <c r="B598" s="125"/>
    </row>
    <row r="599" ht="13.5" customHeight="1">
      <c r="A599" s="124"/>
      <c r="B599" s="125"/>
    </row>
    <row r="600" ht="13.5" customHeight="1">
      <c r="A600" s="124"/>
      <c r="B600" s="125"/>
    </row>
    <row r="601" ht="13.5" customHeight="1">
      <c r="A601" s="124"/>
      <c r="B601" s="125"/>
    </row>
    <row r="602" ht="13.5" customHeight="1">
      <c r="A602" s="124"/>
      <c r="B602" s="125"/>
    </row>
    <row r="603" ht="13.5" customHeight="1">
      <c r="A603" s="124"/>
      <c r="B603" s="125"/>
    </row>
    <row r="604" ht="13.5" customHeight="1">
      <c r="A604" s="124"/>
      <c r="B604" s="125"/>
    </row>
    <row r="605" ht="13.5" customHeight="1">
      <c r="A605" s="124"/>
      <c r="B605" s="125"/>
    </row>
    <row r="606" ht="13.5" customHeight="1">
      <c r="A606" s="124"/>
      <c r="B606" s="125"/>
    </row>
    <row r="607" ht="13.5" customHeight="1">
      <c r="A607" s="124"/>
      <c r="B607" s="125"/>
    </row>
    <row r="608" ht="13.5" customHeight="1">
      <c r="A608" s="124"/>
      <c r="B608" s="125"/>
    </row>
    <row r="609" ht="13.5" customHeight="1">
      <c r="A609" s="124"/>
      <c r="B609" s="125"/>
    </row>
    <row r="610" ht="13.5" customHeight="1">
      <c r="A610" s="124"/>
      <c r="B610" s="125"/>
    </row>
    <row r="611" ht="13.5" customHeight="1">
      <c r="A611" s="124"/>
      <c r="B611" s="125"/>
    </row>
    <row r="612" ht="13.5" customHeight="1">
      <c r="A612" s="124"/>
      <c r="B612" s="125"/>
    </row>
    <row r="613" ht="13.5" customHeight="1">
      <c r="A613" s="124"/>
      <c r="B613" s="125"/>
    </row>
    <row r="614" ht="13.5" customHeight="1">
      <c r="A614" s="124"/>
      <c r="B614" s="125"/>
    </row>
    <row r="615" ht="13.5" customHeight="1">
      <c r="A615" s="124"/>
      <c r="B615" s="125"/>
    </row>
    <row r="616" ht="13.5" customHeight="1">
      <c r="A616" s="124"/>
      <c r="B616" s="125"/>
    </row>
    <row r="617" ht="13.5" customHeight="1">
      <c r="A617" s="124"/>
      <c r="B617" s="125"/>
    </row>
    <row r="618" ht="13.5" customHeight="1">
      <c r="A618" s="124"/>
      <c r="B618" s="125"/>
    </row>
    <row r="619" ht="13.5" customHeight="1">
      <c r="A619" s="124"/>
      <c r="B619" s="125"/>
    </row>
    <row r="620" ht="13.5" customHeight="1">
      <c r="A620" s="124"/>
      <c r="B620" s="125"/>
    </row>
    <row r="621" ht="13.5" customHeight="1">
      <c r="A621" s="124"/>
      <c r="B621" s="125"/>
    </row>
    <row r="622" ht="13.5" customHeight="1">
      <c r="A622" s="124"/>
      <c r="B622" s="125"/>
    </row>
    <row r="623" ht="13.5" customHeight="1">
      <c r="A623" s="124"/>
      <c r="B623" s="125"/>
    </row>
    <row r="624" ht="13.5" customHeight="1">
      <c r="A624" s="124"/>
      <c r="B624" s="125"/>
    </row>
    <row r="625" ht="13.5" customHeight="1">
      <c r="A625" s="124"/>
      <c r="B625" s="125"/>
    </row>
    <row r="626" ht="13.5" customHeight="1">
      <c r="A626" s="124"/>
      <c r="B626" s="125"/>
    </row>
    <row r="627" ht="13.5" customHeight="1">
      <c r="A627" s="124"/>
      <c r="B627" s="125"/>
    </row>
    <row r="628" ht="13.5" customHeight="1">
      <c r="A628" s="124"/>
      <c r="B628" s="125"/>
    </row>
    <row r="629" ht="13.5" customHeight="1">
      <c r="A629" s="124"/>
      <c r="B629" s="125"/>
    </row>
    <row r="630" ht="13.5" customHeight="1">
      <c r="A630" s="124"/>
      <c r="B630" s="125"/>
    </row>
    <row r="631" ht="13.5" customHeight="1">
      <c r="A631" s="124"/>
      <c r="B631" s="125"/>
    </row>
    <row r="632" ht="13.5" customHeight="1">
      <c r="A632" s="124"/>
      <c r="B632" s="125"/>
    </row>
    <row r="633" ht="13.5" customHeight="1">
      <c r="A633" s="124"/>
      <c r="B633" s="125"/>
    </row>
    <row r="634" ht="13.5" customHeight="1">
      <c r="A634" s="124"/>
      <c r="B634" s="125"/>
    </row>
    <row r="635" ht="13.5" customHeight="1">
      <c r="A635" s="124"/>
      <c r="B635" s="125"/>
    </row>
    <row r="636" ht="13.5" customHeight="1">
      <c r="A636" s="124"/>
      <c r="B636" s="125"/>
    </row>
    <row r="637" ht="13.5" customHeight="1">
      <c r="A637" s="124"/>
      <c r="B637" s="125"/>
    </row>
    <row r="638" ht="13.5" customHeight="1">
      <c r="A638" s="124"/>
      <c r="B638" s="125"/>
    </row>
    <row r="639" ht="13.5" customHeight="1">
      <c r="A639" s="124"/>
      <c r="B639" s="125"/>
    </row>
    <row r="640" ht="13.5" customHeight="1">
      <c r="A640" s="124"/>
      <c r="B640" s="125"/>
    </row>
    <row r="641" ht="13.5" customHeight="1">
      <c r="A641" s="124"/>
      <c r="B641" s="125"/>
    </row>
    <row r="642" ht="13.5" customHeight="1">
      <c r="A642" s="124"/>
      <c r="B642" s="125"/>
    </row>
    <row r="643" ht="13.5" customHeight="1">
      <c r="A643" s="124"/>
      <c r="B643" s="125"/>
    </row>
    <row r="644" ht="13.5" customHeight="1">
      <c r="A644" s="124"/>
      <c r="B644" s="125"/>
    </row>
    <row r="645" ht="13.5" customHeight="1">
      <c r="A645" s="124"/>
      <c r="B645" s="125"/>
    </row>
    <row r="646" ht="13.5" customHeight="1">
      <c r="A646" s="124"/>
      <c r="B646" s="125"/>
    </row>
    <row r="647" ht="13.5" customHeight="1">
      <c r="A647" s="124"/>
      <c r="B647" s="125"/>
    </row>
    <row r="648" ht="13.5" customHeight="1">
      <c r="A648" s="124"/>
      <c r="B648" s="125"/>
    </row>
    <row r="649" ht="13.5" customHeight="1">
      <c r="A649" s="124"/>
      <c r="B649" s="125"/>
    </row>
    <row r="650" ht="13.5" customHeight="1">
      <c r="A650" s="124"/>
      <c r="B650" s="125"/>
    </row>
    <row r="651" ht="13.5" customHeight="1">
      <c r="A651" s="124"/>
      <c r="B651" s="125"/>
    </row>
    <row r="652" ht="13.5" customHeight="1">
      <c r="A652" s="124"/>
      <c r="B652" s="125"/>
    </row>
    <row r="653" ht="13.5" customHeight="1">
      <c r="A653" s="124"/>
      <c r="B653" s="125"/>
    </row>
    <row r="654" ht="13.5" customHeight="1">
      <c r="A654" s="124"/>
      <c r="B654" s="125"/>
    </row>
    <row r="655" ht="13.5" customHeight="1">
      <c r="A655" s="124"/>
      <c r="B655" s="125"/>
    </row>
    <row r="656" ht="13.5" customHeight="1">
      <c r="A656" s="124"/>
      <c r="B656" s="125"/>
    </row>
    <row r="657" ht="13.5" customHeight="1">
      <c r="A657" s="124"/>
      <c r="B657" s="125"/>
    </row>
    <row r="658" ht="13.5" customHeight="1">
      <c r="A658" s="124"/>
      <c r="B658" s="125"/>
    </row>
    <row r="659" ht="13.5" customHeight="1">
      <c r="A659" s="124"/>
      <c r="B659" s="125"/>
    </row>
    <row r="660" ht="13.5" customHeight="1">
      <c r="A660" s="124"/>
      <c r="B660" s="125"/>
    </row>
    <row r="661" ht="13.5" customHeight="1">
      <c r="A661" s="124"/>
      <c r="B661" s="125"/>
    </row>
    <row r="662" ht="13.5" customHeight="1">
      <c r="A662" s="124"/>
      <c r="B662" s="125"/>
    </row>
    <row r="663" ht="13.5" customHeight="1">
      <c r="A663" s="124"/>
      <c r="B663" s="125"/>
    </row>
    <row r="664" ht="13.5" customHeight="1">
      <c r="A664" s="124"/>
      <c r="B664" s="125"/>
    </row>
    <row r="665" ht="13.5" customHeight="1">
      <c r="A665" s="124"/>
      <c r="B665" s="125"/>
    </row>
    <row r="666" ht="13.5" customHeight="1">
      <c r="A666" s="124"/>
      <c r="B666" s="125"/>
    </row>
    <row r="667" ht="13.5" customHeight="1">
      <c r="A667" s="124"/>
      <c r="B667" s="125"/>
    </row>
    <row r="668" ht="13.5" customHeight="1">
      <c r="A668" s="124"/>
      <c r="B668" s="125"/>
    </row>
    <row r="669" ht="13.5" customHeight="1">
      <c r="A669" s="124"/>
      <c r="B669" s="125"/>
    </row>
    <row r="670" ht="13.5" customHeight="1">
      <c r="A670" s="124"/>
      <c r="B670" s="125"/>
    </row>
    <row r="671" ht="13.5" customHeight="1">
      <c r="A671" s="124"/>
      <c r="B671" s="125"/>
    </row>
    <row r="672" ht="13.5" customHeight="1">
      <c r="A672" s="124"/>
      <c r="B672" s="125"/>
    </row>
    <row r="673" ht="13.5" customHeight="1">
      <c r="A673" s="124"/>
      <c r="B673" s="125"/>
    </row>
    <row r="674" ht="13.5" customHeight="1">
      <c r="A674" s="124"/>
      <c r="B674" s="125"/>
    </row>
    <row r="675" ht="13.5" customHeight="1">
      <c r="A675" s="124"/>
      <c r="B675" s="125"/>
    </row>
    <row r="676" ht="13.5" customHeight="1">
      <c r="A676" s="124"/>
      <c r="B676" s="125"/>
    </row>
    <row r="677" ht="13.5" customHeight="1">
      <c r="A677" s="124"/>
      <c r="B677" s="125"/>
    </row>
    <row r="678" ht="13.5" customHeight="1">
      <c r="A678" s="124"/>
      <c r="B678" s="125"/>
    </row>
    <row r="679" ht="13.5" customHeight="1">
      <c r="A679" s="124"/>
      <c r="B679" s="125"/>
    </row>
    <row r="680" ht="13.5" customHeight="1">
      <c r="A680" s="124"/>
      <c r="B680" s="125"/>
    </row>
    <row r="681" ht="13.5" customHeight="1">
      <c r="A681" s="124"/>
      <c r="B681" s="125"/>
    </row>
    <row r="682" ht="13.5" customHeight="1">
      <c r="A682" s="124"/>
      <c r="B682" s="125"/>
    </row>
    <row r="683" ht="13.5" customHeight="1">
      <c r="A683" s="124"/>
      <c r="B683" s="125"/>
    </row>
    <row r="684" ht="13.5" customHeight="1">
      <c r="A684" s="124"/>
      <c r="B684" s="125"/>
    </row>
    <row r="685" ht="13.5" customHeight="1">
      <c r="A685" s="124"/>
      <c r="B685" s="125"/>
    </row>
    <row r="686" ht="13.5" customHeight="1">
      <c r="A686" s="124"/>
      <c r="B686" s="125"/>
    </row>
    <row r="687" ht="13.5" customHeight="1">
      <c r="A687" s="124"/>
      <c r="B687" s="125"/>
    </row>
    <row r="688" ht="13.5" customHeight="1">
      <c r="A688" s="124"/>
      <c r="B688" s="125"/>
    </row>
    <row r="689" ht="13.5" customHeight="1">
      <c r="A689" s="124"/>
      <c r="B689" s="125"/>
    </row>
    <row r="690" ht="13.5" customHeight="1">
      <c r="A690" s="124"/>
      <c r="B690" s="125"/>
    </row>
    <row r="691" ht="13.5" customHeight="1">
      <c r="A691" s="124"/>
      <c r="B691" s="125"/>
    </row>
    <row r="692" ht="13.5" customHeight="1">
      <c r="A692" s="124"/>
      <c r="B692" s="125"/>
    </row>
    <row r="693" ht="13.5" customHeight="1">
      <c r="A693" s="124"/>
      <c r="B693" s="125"/>
    </row>
    <row r="694" ht="13.5" customHeight="1">
      <c r="A694" s="124"/>
      <c r="B694" s="125"/>
    </row>
    <row r="695" ht="13.5" customHeight="1">
      <c r="A695" s="124"/>
      <c r="B695" s="125"/>
    </row>
    <row r="696" ht="13.5" customHeight="1">
      <c r="A696" s="124"/>
      <c r="B696" s="125"/>
    </row>
    <row r="697" ht="13.5" customHeight="1">
      <c r="A697" s="124"/>
      <c r="B697" s="125"/>
    </row>
    <row r="698" ht="13.5" customHeight="1">
      <c r="A698" s="124"/>
      <c r="B698" s="125"/>
    </row>
    <row r="699" ht="13.5" customHeight="1">
      <c r="A699" s="124"/>
      <c r="B699" s="125"/>
    </row>
    <row r="700" ht="13.5" customHeight="1">
      <c r="A700" s="124"/>
      <c r="B700" s="125"/>
    </row>
    <row r="701" ht="13.5" customHeight="1">
      <c r="A701" s="124"/>
      <c r="B701" s="125"/>
    </row>
    <row r="702" ht="13.5" customHeight="1">
      <c r="A702" s="124"/>
      <c r="B702" s="125"/>
    </row>
    <row r="703" ht="13.5" customHeight="1">
      <c r="A703" s="124"/>
      <c r="B703" s="125"/>
    </row>
    <row r="704" ht="13.5" customHeight="1">
      <c r="A704" s="124"/>
      <c r="B704" s="125"/>
    </row>
    <row r="705" ht="13.5" customHeight="1">
      <c r="A705" s="124"/>
      <c r="B705" s="125"/>
    </row>
    <row r="706" ht="13.5" customHeight="1">
      <c r="A706" s="124"/>
      <c r="B706" s="125"/>
    </row>
    <row r="707" ht="13.5" customHeight="1">
      <c r="A707" s="124"/>
      <c r="B707" s="125"/>
    </row>
    <row r="708" ht="13.5" customHeight="1">
      <c r="A708" s="124"/>
      <c r="B708" s="125"/>
    </row>
    <row r="709" ht="13.5" customHeight="1">
      <c r="A709" s="124"/>
      <c r="B709" s="125"/>
    </row>
    <row r="710" ht="13.5" customHeight="1">
      <c r="A710" s="124"/>
      <c r="B710" s="125"/>
    </row>
    <row r="711" ht="13.5" customHeight="1">
      <c r="A711" s="124"/>
      <c r="B711" s="125"/>
    </row>
    <row r="712" ht="13.5" customHeight="1">
      <c r="A712" s="124"/>
      <c r="B712" s="125"/>
    </row>
    <row r="713" ht="13.5" customHeight="1">
      <c r="A713" s="124"/>
      <c r="B713" s="125"/>
    </row>
    <row r="714" ht="13.5" customHeight="1">
      <c r="A714" s="124"/>
      <c r="B714" s="125"/>
    </row>
    <row r="715" ht="13.5" customHeight="1">
      <c r="A715" s="124"/>
      <c r="B715" s="125"/>
    </row>
    <row r="716" ht="13.5" customHeight="1">
      <c r="A716" s="124"/>
      <c r="B716" s="125"/>
    </row>
    <row r="717" ht="13.5" customHeight="1">
      <c r="A717" s="124"/>
      <c r="B717" s="125"/>
    </row>
    <row r="718" ht="13.5" customHeight="1">
      <c r="A718" s="124"/>
      <c r="B718" s="125"/>
    </row>
    <row r="719" ht="13.5" customHeight="1">
      <c r="A719" s="124"/>
      <c r="B719" s="125"/>
    </row>
    <row r="720" ht="13.5" customHeight="1">
      <c r="A720" s="124"/>
      <c r="B720" s="125"/>
    </row>
    <row r="721" ht="13.5" customHeight="1">
      <c r="A721" s="124"/>
      <c r="B721" s="125"/>
    </row>
    <row r="722" ht="13.5" customHeight="1">
      <c r="A722" s="124"/>
      <c r="B722" s="125"/>
    </row>
    <row r="723" ht="13.5" customHeight="1">
      <c r="A723" s="124"/>
      <c r="B723" s="125"/>
    </row>
    <row r="724" ht="13.5" customHeight="1">
      <c r="A724" s="124"/>
      <c r="B724" s="125"/>
    </row>
    <row r="725" ht="13.5" customHeight="1">
      <c r="A725" s="124"/>
      <c r="B725" s="125"/>
    </row>
    <row r="726" ht="13.5" customHeight="1">
      <c r="A726" s="124"/>
      <c r="B726" s="125"/>
    </row>
    <row r="727" ht="13.5" customHeight="1">
      <c r="A727" s="124"/>
      <c r="B727" s="125"/>
    </row>
    <row r="728" ht="13.5" customHeight="1">
      <c r="A728" s="124"/>
      <c r="B728" s="125"/>
    </row>
    <row r="729" ht="13.5" customHeight="1">
      <c r="A729" s="124"/>
      <c r="B729" s="125"/>
    </row>
    <row r="730" ht="13.5" customHeight="1">
      <c r="A730" s="124"/>
      <c r="B730" s="125"/>
    </row>
    <row r="731" ht="13.5" customHeight="1">
      <c r="A731" s="124"/>
      <c r="B731" s="125"/>
    </row>
    <row r="732" ht="13.5" customHeight="1">
      <c r="A732" s="124"/>
      <c r="B732" s="125"/>
    </row>
    <row r="733" ht="13.5" customHeight="1">
      <c r="A733" s="124"/>
      <c r="B733" s="125"/>
    </row>
    <row r="734" ht="13.5" customHeight="1">
      <c r="A734" s="124"/>
      <c r="B734" s="125"/>
    </row>
    <row r="735" ht="13.5" customHeight="1">
      <c r="A735" s="124"/>
      <c r="B735" s="125"/>
    </row>
    <row r="736" ht="13.5" customHeight="1">
      <c r="A736" s="124"/>
      <c r="B736" s="125"/>
    </row>
    <row r="737" ht="13.5" customHeight="1">
      <c r="A737" s="124"/>
      <c r="B737" s="125"/>
    </row>
    <row r="738" ht="13.5" customHeight="1">
      <c r="A738" s="124"/>
      <c r="B738" s="125"/>
    </row>
    <row r="739" ht="13.5" customHeight="1">
      <c r="A739" s="124"/>
      <c r="B739" s="125"/>
    </row>
    <row r="740" ht="13.5" customHeight="1">
      <c r="A740" s="124"/>
      <c r="B740" s="125"/>
    </row>
    <row r="741" ht="13.5" customHeight="1">
      <c r="A741" s="124"/>
      <c r="B741" s="125"/>
    </row>
    <row r="742" ht="13.5" customHeight="1">
      <c r="A742" s="124"/>
      <c r="B742" s="125"/>
    </row>
    <row r="743" ht="13.5" customHeight="1">
      <c r="A743" s="124"/>
      <c r="B743" s="125"/>
    </row>
    <row r="744" ht="13.5" customHeight="1">
      <c r="A744" s="124"/>
      <c r="B744" s="125"/>
    </row>
    <row r="745" ht="13.5" customHeight="1">
      <c r="A745" s="124"/>
      <c r="B745" s="125"/>
    </row>
    <row r="746" ht="13.5" customHeight="1">
      <c r="A746" s="124"/>
      <c r="B746" s="125"/>
    </row>
    <row r="747" ht="13.5" customHeight="1">
      <c r="A747" s="124"/>
      <c r="B747" s="125"/>
    </row>
    <row r="748" ht="13.5" customHeight="1">
      <c r="A748" s="124"/>
      <c r="B748" s="125"/>
    </row>
    <row r="749" ht="13.5" customHeight="1">
      <c r="A749" s="124"/>
      <c r="B749" s="125"/>
    </row>
    <row r="750" ht="13.5" customHeight="1">
      <c r="A750" s="124"/>
      <c r="B750" s="125"/>
    </row>
    <row r="751" ht="13.5" customHeight="1">
      <c r="A751" s="124"/>
      <c r="B751" s="125"/>
    </row>
    <row r="752" ht="13.5" customHeight="1">
      <c r="A752" s="124"/>
      <c r="B752" s="125"/>
    </row>
    <row r="753" ht="13.5" customHeight="1">
      <c r="A753" s="124"/>
      <c r="B753" s="125"/>
    </row>
    <row r="754" ht="13.5" customHeight="1">
      <c r="A754" s="124"/>
      <c r="B754" s="125"/>
    </row>
    <row r="755" ht="13.5" customHeight="1">
      <c r="A755" s="124"/>
      <c r="B755" s="125"/>
    </row>
    <row r="756" ht="13.5" customHeight="1">
      <c r="A756" s="124"/>
      <c r="B756" s="125"/>
    </row>
    <row r="757" ht="13.5" customHeight="1">
      <c r="A757" s="124"/>
      <c r="B757" s="125"/>
    </row>
    <row r="758" ht="13.5" customHeight="1">
      <c r="A758" s="124"/>
      <c r="B758" s="125"/>
    </row>
    <row r="759" ht="13.5" customHeight="1">
      <c r="A759" s="124"/>
      <c r="B759" s="125"/>
    </row>
    <row r="760" ht="13.5" customHeight="1">
      <c r="A760" s="124"/>
      <c r="B760" s="125"/>
    </row>
    <row r="761" ht="13.5" customHeight="1">
      <c r="A761" s="124"/>
      <c r="B761" s="125"/>
    </row>
    <row r="762" ht="13.5" customHeight="1">
      <c r="A762" s="124"/>
      <c r="B762" s="125"/>
    </row>
    <row r="763" ht="13.5" customHeight="1">
      <c r="A763" s="124"/>
      <c r="B763" s="125"/>
    </row>
    <row r="764" ht="13.5" customHeight="1">
      <c r="A764" s="124"/>
      <c r="B764" s="125"/>
    </row>
    <row r="765" ht="13.5" customHeight="1">
      <c r="A765" s="124"/>
      <c r="B765" s="125"/>
    </row>
    <row r="766" ht="13.5" customHeight="1">
      <c r="A766" s="124"/>
      <c r="B766" s="125"/>
    </row>
    <row r="767" ht="13.5" customHeight="1">
      <c r="A767" s="124"/>
      <c r="B767" s="125"/>
    </row>
    <row r="768" ht="13.5" customHeight="1">
      <c r="A768" s="124"/>
      <c r="B768" s="125"/>
    </row>
    <row r="769" ht="13.5" customHeight="1">
      <c r="A769" s="124"/>
      <c r="B769" s="125"/>
    </row>
    <row r="770" ht="13.5" customHeight="1">
      <c r="A770" s="124"/>
      <c r="B770" s="125"/>
    </row>
    <row r="771" ht="13.5" customHeight="1">
      <c r="A771" s="124"/>
      <c r="B771" s="125"/>
    </row>
    <row r="772" ht="13.5" customHeight="1">
      <c r="A772" s="124"/>
      <c r="B772" s="125"/>
    </row>
    <row r="773" ht="13.5" customHeight="1">
      <c r="A773" s="124"/>
      <c r="B773" s="125"/>
    </row>
    <row r="774" ht="13.5" customHeight="1">
      <c r="A774" s="124"/>
      <c r="B774" s="125"/>
    </row>
    <row r="775" ht="13.5" customHeight="1">
      <c r="A775" s="124"/>
      <c r="B775" s="125"/>
    </row>
    <row r="776" ht="13.5" customHeight="1">
      <c r="A776" s="124"/>
      <c r="B776" s="125"/>
    </row>
    <row r="777" ht="13.5" customHeight="1">
      <c r="A777" s="124"/>
      <c r="B777" s="125"/>
    </row>
    <row r="778" ht="13.5" customHeight="1">
      <c r="A778" s="124"/>
      <c r="B778" s="125"/>
    </row>
    <row r="779" ht="13.5" customHeight="1">
      <c r="A779" s="124"/>
      <c r="B779" s="125"/>
    </row>
    <row r="780" ht="13.5" customHeight="1">
      <c r="A780" s="124"/>
      <c r="B780" s="125"/>
    </row>
    <row r="781" ht="13.5" customHeight="1">
      <c r="A781" s="124"/>
      <c r="B781" s="125"/>
    </row>
    <row r="782" ht="13.5" customHeight="1">
      <c r="A782" s="124"/>
      <c r="B782" s="125"/>
    </row>
    <row r="783" ht="13.5" customHeight="1">
      <c r="A783" s="124"/>
      <c r="B783" s="125"/>
    </row>
    <row r="784" ht="13.5" customHeight="1">
      <c r="A784" s="124"/>
      <c r="B784" s="125"/>
    </row>
    <row r="785" ht="13.5" customHeight="1">
      <c r="A785" s="124"/>
      <c r="B785" s="125"/>
    </row>
    <row r="786" ht="13.5" customHeight="1">
      <c r="A786" s="124"/>
      <c r="B786" s="125"/>
    </row>
    <row r="787" ht="13.5" customHeight="1">
      <c r="A787" s="124"/>
      <c r="B787" s="125"/>
    </row>
    <row r="788" ht="13.5" customHeight="1">
      <c r="A788" s="124"/>
      <c r="B788" s="125"/>
    </row>
    <row r="789" ht="13.5" customHeight="1">
      <c r="A789" s="124"/>
      <c r="B789" s="125"/>
    </row>
    <row r="790" ht="13.5" customHeight="1">
      <c r="A790" s="124"/>
      <c r="B790" s="125"/>
    </row>
    <row r="791" ht="13.5" customHeight="1">
      <c r="A791" s="124"/>
      <c r="B791" s="125"/>
    </row>
    <row r="792" ht="13.5" customHeight="1">
      <c r="A792" s="124"/>
      <c r="B792" s="125"/>
    </row>
    <row r="793" ht="13.5" customHeight="1">
      <c r="A793" s="124"/>
      <c r="B793" s="125"/>
    </row>
    <row r="794" ht="13.5" customHeight="1">
      <c r="A794" s="124"/>
      <c r="B794" s="125"/>
    </row>
    <row r="795" ht="13.5" customHeight="1">
      <c r="A795" s="124"/>
      <c r="B795" s="125"/>
    </row>
    <row r="796" ht="13.5" customHeight="1">
      <c r="A796" s="124"/>
      <c r="B796" s="125"/>
    </row>
    <row r="797" ht="13.5" customHeight="1">
      <c r="A797" s="124"/>
      <c r="B797" s="125"/>
    </row>
    <row r="798" ht="13.5" customHeight="1">
      <c r="A798" s="124"/>
      <c r="B798" s="125"/>
    </row>
    <row r="799" ht="13.5" customHeight="1">
      <c r="A799" s="124"/>
      <c r="B799" s="125"/>
    </row>
    <row r="800" ht="13.5" customHeight="1">
      <c r="A800" s="124"/>
      <c r="B800" s="125"/>
    </row>
    <row r="801" ht="13.5" customHeight="1">
      <c r="A801" s="124"/>
      <c r="B801" s="125"/>
    </row>
    <row r="802" ht="13.5" customHeight="1">
      <c r="A802" s="124"/>
      <c r="B802" s="125"/>
    </row>
    <row r="803" ht="13.5" customHeight="1">
      <c r="A803" s="124"/>
      <c r="B803" s="125"/>
    </row>
    <row r="804" ht="13.5" customHeight="1">
      <c r="A804" s="124"/>
      <c r="B804" s="125"/>
    </row>
    <row r="805" ht="13.5" customHeight="1">
      <c r="A805" s="124"/>
      <c r="B805" s="125"/>
    </row>
    <row r="806" ht="13.5" customHeight="1">
      <c r="A806" s="124"/>
      <c r="B806" s="125"/>
    </row>
    <row r="807" ht="13.5" customHeight="1">
      <c r="A807" s="124"/>
      <c r="B807" s="125"/>
    </row>
    <row r="808" ht="13.5" customHeight="1">
      <c r="A808" s="124"/>
      <c r="B808" s="125"/>
    </row>
    <row r="809" ht="13.5" customHeight="1">
      <c r="A809" s="124"/>
      <c r="B809" s="125"/>
    </row>
    <row r="810" ht="13.5" customHeight="1">
      <c r="A810" s="124"/>
      <c r="B810" s="125"/>
    </row>
    <row r="811" ht="13.5" customHeight="1">
      <c r="A811" s="124"/>
      <c r="B811" s="125"/>
    </row>
    <row r="812" ht="13.5" customHeight="1">
      <c r="A812" s="124"/>
      <c r="B812" s="125"/>
    </row>
    <row r="813" ht="13.5" customHeight="1">
      <c r="A813" s="124"/>
      <c r="B813" s="125"/>
    </row>
    <row r="814" ht="13.5" customHeight="1">
      <c r="A814" s="124"/>
      <c r="B814" s="125"/>
    </row>
    <row r="815" ht="13.5" customHeight="1">
      <c r="A815" s="124"/>
      <c r="B815" s="125"/>
    </row>
    <row r="816" ht="13.5" customHeight="1">
      <c r="A816" s="124"/>
      <c r="B816" s="125"/>
    </row>
    <row r="817" ht="13.5" customHeight="1">
      <c r="A817" s="124"/>
      <c r="B817" s="125"/>
    </row>
    <row r="818" ht="13.5" customHeight="1">
      <c r="A818" s="124"/>
      <c r="B818" s="125"/>
    </row>
    <row r="819" ht="13.5" customHeight="1">
      <c r="A819" s="124"/>
      <c r="B819" s="125"/>
    </row>
    <row r="820" ht="13.5" customHeight="1">
      <c r="A820" s="124"/>
      <c r="B820" s="125"/>
    </row>
    <row r="821" ht="13.5" customHeight="1">
      <c r="A821" s="124"/>
      <c r="B821" s="125"/>
    </row>
    <row r="822" ht="13.5" customHeight="1">
      <c r="A822" s="124"/>
      <c r="B822" s="125"/>
    </row>
    <row r="823" ht="13.5" customHeight="1">
      <c r="A823" s="124"/>
      <c r="B823" s="125"/>
    </row>
    <row r="824" ht="13.5" customHeight="1">
      <c r="A824" s="124"/>
      <c r="B824" s="125"/>
    </row>
    <row r="825" ht="13.5" customHeight="1">
      <c r="A825" s="124"/>
      <c r="B825" s="125"/>
    </row>
    <row r="826" ht="13.5" customHeight="1">
      <c r="A826" s="124"/>
      <c r="B826" s="125"/>
    </row>
    <row r="827" ht="13.5" customHeight="1">
      <c r="A827" s="124"/>
      <c r="B827" s="125"/>
    </row>
    <row r="828" ht="13.5" customHeight="1">
      <c r="A828" s="124"/>
      <c r="B828" s="125"/>
    </row>
    <row r="829" ht="13.5" customHeight="1">
      <c r="A829" s="124"/>
      <c r="B829" s="125"/>
    </row>
    <row r="830" ht="13.5" customHeight="1">
      <c r="A830" s="124"/>
      <c r="B830" s="125"/>
    </row>
    <row r="831" ht="13.5" customHeight="1">
      <c r="A831" s="124"/>
      <c r="B831" s="125"/>
    </row>
    <row r="832" ht="13.5" customHeight="1">
      <c r="A832" s="124"/>
      <c r="B832" s="125"/>
    </row>
    <row r="833" ht="13.5" customHeight="1">
      <c r="A833" s="124"/>
      <c r="B833" s="125"/>
    </row>
    <row r="834" ht="13.5" customHeight="1">
      <c r="A834" s="124"/>
      <c r="B834" s="125"/>
    </row>
    <row r="835" ht="13.5" customHeight="1">
      <c r="A835" s="124"/>
      <c r="B835" s="125"/>
    </row>
    <row r="836" ht="13.5" customHeight="1">
      <c r="A836" s="124"/>
      <c r="B836" s="125"/>
    </row>
    <row r="837" ht="13.5" customHeight="1">
      <c r="A837" s="124"/>
      <c r="B837" s="125"/>
    </row>
    <row r="838" ht="13.5" customHeight="1">
      <c r="A838" s="124"/>
      <c r="B838" s="125"/>
    </row>
    <row r="839" ht="13.5" customHeight="1">
      <c r="A839" s="124"/>
      <c r="B839" s="125"/>
    </row>
    <row r="840" ht="13.5" customHeight="1">
      <c r="A840" s="124"/>
      <c r="B840" s="125"/>
    </row>
    <row r="841" ht="13.5" customHeight="1">
      <c r="A841" s="124"/>
      <c r="B841" s="125"/>
    </row>
    <row r="842" ht="13.5" customHeight="1">
      <c r="A842" s="124"/>
      <c r="B842" s="125"/>
    </row>
    <row r="843" ht="13.5" customHeight="1">
      <c r="A843" s="124"/>
      <c r="B843" s="125"/>
    </row>
    <row r="844" ht="13.5" customHeight="1">
      <c r="A844" s="124"/>
      <c r="B844" s="125"/>
    </row>
    <row r="845" ht="13.5" customHeight="1">
      <c r="A845" s="124"/>
      <c r="B845" s="125"/>
    </row>
    <row r="846" ht="13.5" customHeight="1">
      <c r="A846" s="124"/>
      <c r="B846" s="125"/>
    </row>
    <row r="847" ht="13.5" customHeight="1">
      <c r="A847" s="124"/>
      <c r="B847" s="125"/>
    </row>
    <row r="848" ht="13.5" customHeight="1">
      <c r="A848" s="124"/>
      <c r="B848" s="125"/>
    </row>
    <row r="849" ht="13.5" customHeight="1">
      <c r="A849" s="124"/>
      <c r="B849" s="125"/>
    </row>
    <row r="850" ht="13.5" customHeight="1">
      <c r="A850" s="124"/>
      <c r="B850" s="125"/>
    </row>
    <row r="851" ht="13.5" customHeight="1">
      <c r="A851" s="124"/>
      <c r="B851" s="125"/>
    </row>
    <row r="852" ht="13.5" customHeight="1">
      <c r="A852" s="124"/>
      <c r="B852" s="125"/>
    </row>
    <row r="853" ht="13.5" customHeight="1">
      <c r="A853" s="124"/>
      <c r="B853" s="125"/>
    </row>
    <row r="854" ht="13.5" customHeight="1">
      <c r="A854" s="124"/>
      <c r="B854" s="125"/>
    </row>
    <row r="855" ht="13.5" customHeight="1">
      <c r="A855" s="124"/>
      <c r="B855" s="125"/>
    </row>
    <row r="856" ht="13.5" customHeight="1">
      <c r="A856" s="124"/>
      <c r="B856" s="125"/>
    </row>
    <row r="857" ht="13.5" customHeight="1">
      <c r="A857" s="124"/>
      <c r="B857" s="125"/>
    </row>
    <row r="858" ht="13.5" customHeight="1">
      <c r="A858" s="124"/>
      <c r="B858" s="125"/>
    </row>
    <row r="859" ht="13.5" customHeight="1">
      <c r="A859" s="124"/>
      <c r="B859" s="125"/>
    </row>
    <row r="860" ht="13.5" customHeight="1">
      <c r="A860" s="124"/>
      <c r="B860" s="125"/>
    </row>
    <row r="861" ht="13.5" customHeight="1">
      <c r="A861" s="124"/>
      <c r="B861" s="125"/>
    </row>
    <row r="862" ht="13.5" customHeight="1">
      <c r="A862" s="124"/>
      <c r="B862" s="125"/>
    </row>
    <row r="863" ht="13.5" customHeight="1">
      <c r="A863" s="124"/>
      <c r="B863" s="125"/>
    </row>
    <row r="864" ht="13.5" customHeight="1">
      <c r="A864" s="124"/>
      <c r="B864" s="125"/>
    </row>
    <row r="865" ht="13.5" customHeight="1">
      <c r="A865" s="124"/>
      <c r="B865" s="125"/>
    </row>
    <row r="866" ht="13.5" customHeight="1">
      <c r="A866" s="124"/>
      <c r="B866" s="125"/>
    </row>
    <row r="867" ht="13.5" customHeight="1">
      <c r="A867" s="124"/>
      <c r="B867" s="125"/>
    </row>
    <row r="868" ht="13.5" customHeight="1">
      <c r="A868" s="124"/>
      <c r="B868" s="125"/>
    </row>
    <row r="869" ht="13.5" customHeight="1">
      <c r="A869" s="124"/>
      <c r="B869" s="125"/>
    </row>
    <row r="870" ht="13.5" customHeight="1">
      <c r="A870" s="124"/>
      <c r="B870" s="125"/>
    </row>
    <row r="871" ht="13.5" customHeight="1">
      <c r="A871" s="124"/>
      <c r="B871" s="125"/>
    </row>
    <row r="872" ht="13.5" customHeight="1">
      <c r="A872" s="124"/>
      <c r="B872" s="125"/>
    </row>
    <row r="873" ht="13.5" customHeight="1">
      <c r="A873" s="124"/>
      <c r="B873" s="125"/>
    </row>
    <row r="874" ht="13.5" customHeight="1">
      <c r="A874" s="124"/>
      <c r="B874" s="125"/>
    </row>
    <row r="875" ht="13.5" customHeight="1">
      <c r="A875" s="124"/>
      <c r="B875" s="125"/>
    </row>
    <row r="876" ht="13.5" customHeight="1">
      <c r="A876" s="124"/>
      <c r="B876" s="125"/>
    </row>
    <row r="877" ht="13.5" customHeight="1">
      <c r="A877" s="124"/>
      <c r="B877" s="125"/>
    </row>
    <row r="878" ht="13.5" customHeight="1">
      <c r="A878" s="124"/>
      <c r="B878" s="125"/>
    </row>
    <row r="879" ht="13.5" customHeight="1">
      <c r="A879" s="124"/>
      <c r="B879" s="125"/>
    </row>
    <row r="880" ht="13.5" customHeight="1">
      <c r="A880" s="124"/>
      <c r="B880" s="125"/>
    </row>
    <row r="881" ht="13.5" customHeight="1">
      <c r="A881" s="124"/>
      <c r="B881" s="125"/>
    </row>
    <row r="882" ht="13.5" customHeight="1">
      <c r="A882" s="124"/>
      <c r="B882" s="125"/>
    </row>
    <row r="883" ht="13.5" customHeight="1">
      <c r="A883" s="124"/>
      <c r="B883" s="125"/>
    </row>
    <row r="884" ht="13.5" customHeight="1">
      <c r="A884" s="124"/>
      <c r="B884" s="125"/>
    </row>
    <row r="885" ht="13.5" customHeight="1">
      <c r="A885" s="124"/>
      <c r="B885" s="125"/>
    </row>
    <row r="886" ht="13.5" customHeight="1">
      <c r="A886" s="124"/>
      <c r="B886" s="125"/>
    </row>
    <row r="887" ht="13.5" customHeight="1">
      <c r="A887" s="124"/>
      <c r="B887" s="125"/>
    </row>
    <row r="888" ht="13.5" customHeight="1">
      <c r="A888" s="124"/>
      <c r="B888" s="125"/>
    </row>
    <row r="889" ht="13.5" customHeight="1">
      <c r="A889" s="124"/>
      <c r="B889" s="125"/>
    </row>
    <row r="890" ht="13.5" customHeight="1">
      <c r="A890" s="124"/>
      <c r="B890" s="125"/>
    </row>
    <row r="891" ht="13.5" customHeight="1">
      <c r="A891" s="124"/>
      <c r="B891" s="125"/>
    </row>
    <row r="892" ht="13.5" customHeight="1">
      <c r="A892" s="124"/>
      <c r="B892" s="125"/>
    </row>
    <row r="893" ht="13.5" customHeight="1">
      <c r="A893" s="124"/>
      <c r="B893" s="125"/>
    </row>
    <row r="894" ht="13.5" customHeight="1">
      <c r="A894" s="124"/>
      <c r="B894" s="125"/>
    </row>
    <row r="895" ht="13.5" customHeight="1">
      <c r="A895" s="124"/>
      <c r="B895" s="125"/>
    </row>
    <row r="896" ht="13.5" customHeight="1">
      <c r="A896" s="124"/>
      <c r="B896" s="125"/>
    </row>
    <row r="897" ht="13.5" customHeight="1">
      <c r="A897" s="124"/>
      <c r="B897" s="125"/>
    </row>
    <row r="898" ht="13.5" customHeight="1">
      <c r="A898" s="124"/>
      <c r="B898" s="125"/>
    </row>
    <row r="899" ht="13.5" customHeight="1">
      <c r="A899" s="124"/>
      <c r="B899" s="125"/>
    </row>
    <row r="900" ht="13.5" customHeight="1">
      <c r="A900" s="124"/>
      <c r="B900" s="125"/>
    </row>
    <row r="901" ht="13.5" customHeight="1">
      <c r="A901" s="124"/>
      <c r="B901" s="125"/>
    </row>
    <row r="902" ht="13.5" customHeight="1">
      <c r="A902" s="124"/>
      <c r="B902" s="125"/>
    </row>
    <row r="903" ht="13.5" customHeight="1">
      <c r="A903" s="124"/>
      <c r="B903" s="125"/>
    </row>
    <row r="904" ht="13.5" customHeight="1">
      <c r="A904" s="124"/>
      <c r="B904" s="125"/>
    </row>
    <row r="905" ht="13.5" customHeight="1">
      <c r="A905" s="124"/>
      <c r="B905" s="125"/>
    </row>
    <row r="906" ht="13.5" customHeight="1">
      <c r="A906" s="124"/>
      <c r="B906" s="125"/>
    </row>
    <row r="907" ht="13.5" customHeight="1">
      <c r="A907" s="124"/>
      <c r="B907" s="125"/>
    </row>
    <row r="908" ht="13.5" customHeight="1">
      <c r="A908" s="124"/>
      <c r="B908" s="125"/>
    </row>
    <row r="909" ht="13.5" customHeight="1">
      <c r="A909" s="124"/>
      <c r="B909" s="125"/>
    </row>
    <row r="910" ht="13.5" customHeight="1">
      <c r="A910" s="124"/>
      <c r="B910" s="125"/>
    </row>
    <row r="911" ht="13.5" customHeight="1">
      <c r="A911" s="124"/>
      <c r="B911" s="125"/>
    </row>
    <row r="912" ht="13.5" customHeight="1">
      <c r="A912" s="124"/>
      <c r="B912" s="125"/>
    </row>
  </sheetData>
  <conditionalFormatting sqref="J10">
    <cfRule type="notContainsBlanks" dxfId="9" priority="1">
      <formula>LEN(TRIM(J10))&gt;0</formula>
    </cfRule>
  </conditionalFormatting>
  <dataValidations>
    <dataValidation type="list" allowBlank="1" showErrorMessage="1" sqref="D3">
      <formula1>Tb_Proteccion_N[Protección de la niñez]</formula1>
    </dataValidation>
    <dataValidation type="list" allowBlank="1" showErrorMessage="1" sqref="B5">
      <formula1>Tb_TipoInstalacion[Tipo_Instalacion]</formula1>
    </dataValidation>
    <dataValidation type="date" allowBlank="1" showDropDown="1" showInputMessage="1" showErrorMessage="1" prompt="Ingrese una fecha valida" sqref="D4">
      <formula1>46197.0</formula1>
      <formula2>46387.0</formula2>
    </dataValidation>
    <dataValidation type="list" allowBlank="1" showErrorMessage="1" sqref="B3">
      <formula1>'no usar'!$Y$2:$Y$85</formula1>
    </dataValidation>
    <dataValidation type="list" allowBlank="1" showErrorMessage="1" sqref="B2">
      <formula1>Ubicaciones!$B$4:$B$27</formula1>
    </dataValidation>
    <dataValidation type="list" allowBlank="1" showErrorMessage="1" sqref="D2">
      <formula1>Tb_Programatico[Programatico]</formula1>
    </dataValidation>
    <dataValidation type="list" allowBlank="1" showErrorMessage="1" sqref="B4">
      <formula1>'no usar'!$Z$2:$Z$85</formula1>
    </dataValidation>
  </dataValidations>
  <printOptions/>
  <pageMargins bottom="0.75" footer="0.0" header="0.0" left="0.7" right="0.7" top="0.75"/>
  <pageSetup orientation="portrait"/>
  <drawing r:id="rId1"/>
</worksheet>
</file>